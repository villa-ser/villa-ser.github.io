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ota" sheetId="1" r:id="rId4"/>
    <sheet state="hidden" name="Hoja8" sheetId="2" r:id="rId5"/>
    <sheet state="hidden" name="Clientes" sheetId="3" r:id="rId6"/>
    <sheet state="hidden" name="Carga" sheetId="4" r:id="rId7"/>
    <sheet state="hidden" name="Copia_de_Carga" sheetId="5" r:id="rId8"/>
    <sheet state="hidden" name="F1" sheetId="6" r:id="rId9"/>
    <sheet state="visible" name="Precios" sheetId="7" r:id="rId10"/>
    <sheet state="hidden" name="Desplegables" sheetId="8" r:id="rId11"/>
    <sheet state="hidden" name="Presupuesto" sheetId="9" r:id="rId12"/>
    <sheet state="hidden" name="Blok Presupuesto" sheetId="10" r:id="rId13"/>
  </sheets>
  <definedNames>
    <definedName localSheetId="9" name="Direccion">'Blok Presupuesto'!$F$8:$G$8</definedName>
    <definedName localSheetId="9" name="Listado">'Blok Presupuesto'!$B$15:$H$32</definedName>
    <definedName localSheetId="9" name="Cliente">'Blok Presupuesto'!$F$6:$G$6</definedName>
    <definedName name="Cliente">Presupuesto!$F$6:$G$6</definedName>
    <definedName name="Listado">Presupuesto!$B$15:$H$32</definedName>
    <definedName name="Direccion">Presupuesto!$F$8:$G$8</definedName>
    <definedName localSheetId="9" name="Fecha">'Blok Presupuesto'!$F$4:$G$4</definedName>
    <definedName name="Fecha">Presupuesto!$F$4:$G$4</definedName>
    <definedName hidden="1" localSheetId="6" name="_xlnm._FilterDatabase">Precios!$A$1:$G$325</definedName>
  </definedNames>
  <calcPr/>
  <extLst>
    <ext uri="GoogleSheetsCustomDataVersion2">
      <go:sheetsCustomData xmlns:go="http://customooxmlschemas.google.com/" r:id="rId14" roundtripDataChecksum="oC/0BYgEDrX6Zq1uBzWmHx2IZb5zm4VDZz92YD7ErIk="/>
    </ext>
  </extLst>
</workbook>
</file>

<file path=xl/sharedStrings.xml><?xml version="1.0" encoding="utf-8"?>
<sst xmlns="http://schemas.openxmlformats.org/spreadsheetml/2006/main" count="2473" uniqueCount="997">
  <si>
    <t xml:space="preserve">Concepto </t>
  </si>
  <si>
    <t>Cantidad</t>
  </si>
  <si>
    <t>Detalle ingresado</t>
  </si>
  <si>
    <t>precio unitario</t>
  </si>
  <si>
    <t>desc</t>
  </si>
  <si>
    <t>Total</t>
  </si>
  <si>
    <t>Villagrono Alfredus</t>
  </si>
  <si>
    <t>Enrique banchs 3281 los alamos</t>
  </si>
  <si>
    <t>Instalación a altura h&lt;4mts con perfil C P/ BPC 100 a 300</t>
  </si>
  <si>
    <t>TOTAL</t>
  </si>
  <si>
    <t xml:space="preserve">Fecha </t>
  </si>
  <si>
    <t>/</t>
  </si>
  <si>
    <t>Nombre</t>
  </si>
  <si>
    <t>Certificacion de vivienda o local comercial (hasta 20bocas) no incluye adecuacion de la instalacion</t>
  </si>
  <si>
    <t>Pepito monje</t>
  </si>
  <si>
    <t xml:space="preserve">Dirección </t>
  </si>
  <si>
    <t>Tema</t>
  </si>
  <si>
    <t>Concepto</t>
  </si>
  <si>
    <t>descuento</t>
  </si>
  <si>
    <t>Valor</t>
  </si>
  <si>
    <t>sub</t>
  </si>
  <si>
    <t>descuentos en %</t>
  </si>
  <si>
    <t>concatenado</t>
  </si>
  <si>
    <t>porcentaje</t>
  </si>
  <si>
    <t>%</t>
  </si>
  <si>
    <t>detalle</t>
  </si>
  <si>
    <t>DOCUMENTACIÓN, CERTIFICACIÓN Y SERVICIO DE MEDICIÓN</t>
  </si>
  <si>
    <t>Visita de inspeccion</t>
  </si>
  <si>
    <t>Jkota</t>
  </si>
  <si>
    <t xml:space="preserve">DESCUENTO </t>
  </si>
  <si>
    <t>Visita de Inspección - Bonificación</t>
  </si>
  <si>
    <t xml:space="preserve">CABLEADOS EN CAÑERÍAS </t>
  </si>
  <si>
    <t>Recableado (incluye sacar artef, llaves y colocar nueva instalación) por Boca</t>
  </si>
  <si>
    <t>Otros Descuentos</t>
  </si>
  <si>
    <t>ACOMETIDAS Y TABLEROS</t>
  </si>
  <si>
    <t>Acometida Trifásica aérea, hasta 10kw con sistema doble aislación</t>
  </si>
  <si>
    <t>Acometida Trifásica de 11 a 35kw</t>
  </si>
  <si>
    <t>subtotal (sin desc)</t>
  </si>
  <si>
    <t>total descuento</t>
  </si>
  <si>
    <t>Total Neto</t>
  </si>
  <si>
    <t>-</t>
  </si>
  <si>
    <t>Codigo</t>
  </si>
  <si>
    <t>Fuente</t>
  </si>
  <si>
    <t>Importe neto</t>
  </si>
  <si>
    <t>Notas Aclaratorias</t>
  </si>
  <si>
    <t>Mostrar</t>
  </si>
  <si>
    <t>00-00</t>
  </si>
  <si>
    <t>EPAC</t>
  </si>
  <si>
    <t>Importe Neto</t>
  </si>
  <si>
    <t>---</t>
  </si>
  <si>
    <t>00-01</t>
  </si>
  <si>
    <t>Documentación Certificación y Servicio de Medición</t>
  </si>
  <si>
    <t>Cuota societaria</t>
  </si>
  <si>
    <t>Valor mensual, si pagas año adelantado se cobra el equivalente a 10 cuotas. Debemos recordarles que las cuotas se deben abonnar del 1 al 10 de cada mes. Las cuotas atrasadas se cobraran al valor del mes en curso.</t>
  </si>
  <si>
    <t>NO</t>
  </si>
  <si>
    <t>00-02</t>
  </si>
  <si>
    <t xml:space="preserve">Visita de Inspeccion Técnica </t>
  </si>
  <si>
    <t>Gastos para inspección visual, tomar mediciones, realizar diagnóstico y poder emitir presupuesto.</t>
  </si>
  <si>
    <t>SI</t>
  </si>
  <si>
    <t>00-03</t>
  </si>
  <si>
    <t>Cert. pilar de obra - Monofasico - no incluye construccion de pilar</t>
  </si>
  <si>
    <t>Componer documentación para subirla al ERSEP y obtener certificado de instalación eléctrica apta / No incluye construcción del pilar.</t>
  </si>
  <si>
    <t>00-04</t>
  </si>
  <si>
    <t>Cert. pilar de obra -Trifasico - no incluye construccion de pilar</t>
  </si>
  <si>
    <t>00-05</t>
  </si>
  <si>
    <t>Cert. de vivienda o local comercial (hasta 20bocas) no incluye adecuacion de la instalacion</t>
  </si>
  <si>
    <t>Componer documentación para subirla al ERSEP y obtener certificado de instalación eléctrica apta / No incluye adecuación de la instalación.</t>
  </si>
  <si>
    <t>00-06</t>
  </si>
  <si>
    <t>Costo adicional por boca</t>
  </si>
  <si>
    <t>Componer documentación para subirla al ERSEP y obtener certificado de instalación eléctrica apta</t>
  </si>
  <si>
    <t>00-07</t>
  </si>
  <si>
    <t>Adicional por boca (Certificación)</t>
  </si>
  <si>
    <t>Se consideran una ves superadas las 20 contempladas en la Certificación de vivienda o local comercial.</t>
  </si>
  <si>
    <t>00-08</t>
  </si>
  <si>
    <t>Medicion PAT, lu. a vie. dentro del egido urbano de Córdoba capital</t>
  </si>
  <si>
    <t>Para miembros de EPAC con cuota societaria al dia, consultas al 3516130597</t>
  </si>
  <si>
    <t>00-09</t>
  </si>
  <si>
    <t>Medicion PAT, lu. a vie. dentro del fuera urbano de Córdoba capital</t>
  </si>
  <si>
    <t>Para no miembros de EPAC o miembros  sin cuota societaria al dia, consultas al 3516130597</t>
  </si>
  <si>
    <t>00-10</t>
  </si>
  <si>
    <t>Medicion PAT, adicional por km fuera del egido urbano de Córdoba capital</t>
  </si>
  <si>
    <t>mas valor de peaje para todo solicitante del servicio, el recorrido se considera  ida y vuelta, consultas al 3516130597</t>
  </si>
  <si>
    <t>00-11</t>
  </si>
  <si>
    <t>01-00</t>
  </si>
  <si>
    <t>01-01</t>
  </si>
  <si>
    <t>Acometidas y Tableros</t>
  </si>
  <si>
    <t>Acometida Monofásica aérea, con sistema doble aislación</t>
  </si>
  <si>
    <t>Estos importes corresponden a trabajos de acometidas realizadas de acuerdo a los planos típicos suministrados por la empresa distribuidora de energía ET21 de EPEC S/Materiales, sin certificación, no incluye trabajos de albañilería</t>
  </si>
  <si>
    <t>01-02</t>
  </si>
  <si>
    <t>Estos importes corresponden a trabajos de acometidas realizadas de acuerdo a los plano típicos suministrados por la empresa distribuidora de energía ET21 de EPEC S/Materiales, sin certificación, no incluye trabajos de albañilería</t>
  </si>
  <si>
    <t>01-03</t>
  </si>
  <si>
    <t>Acometida subterránea, hasta 10kw con sistema doble aislación</t>
  </si>
  <si>
    <t>01-04</t>
  </si>
  <si>
    <t>01-05</t>
  </si>
  <si>
    <t>Acometida Trifásica de 36 a 50kw</t>
  </si>
  <si>
    <t>01-06</t>
  </si>
  <si>
    <t>Acometida Trifásica mas de 50kw</t>
  </si>
  <si>
    <t>01-07</t>
  </si>
  <si>
    <t>Fijación tablero de superficie (hasta 54 bocas)</t>
  </si>
  <si>
    <t>Fijación de gabinete a la pared mediante tarugos Fischer u otro elemento</t>
  </si>
  <si>
    <t>Fijación tablero de superficie</t>
  </si>
  <si>
    <t>01-08</t>
  </si>
  <si>
    <t>Empotrado de gabinete en mampostería (de 1 a 24 bocas)</t>
  </si>
  <si>
    <t>Picado de pared y fijación de gabinete mediante mortero, incluye fijación de canalizaciones mediante conectores</t>
  </si>
  <si>
    <t>Empotrado / Fijación de gabinete en mampostería</t>
  </si>
  <si>
    <t>Picado/preparado de pared y fijación de gabinete</t>
  </si>
  <si>
    <t>01-09</t>
  </si>
  <si>
    <t>Empotrado de gabinete en mampostería (de 25 a 54 bocas)</t>
  </si>
  <si>
    <t>01-10</t>
  </si>
  <si>
    <t>Armado de tablero de obra</t>
  </si>
  <si>
    <t>Se considera fijación de tablero a superficie, mas un ID y 2 ITM</t>
  </si>
  <si>
    <t>01-11</t>
  </si>
  <si>
    <t>Zanjeo x metro ( 25 x 80cm) mas tendido de cable subterraneo hasta 4x10mm y relleno con protecciones mecánicas para longitudes de cable menor a 10 metros</t>
  </si>
  <si>
    <t>Incluye: Zanjeo a 80cm de Prof., colocación de cable, cama de arena,  protección mecánica, llenado de zanja y apisonado. No incluyen Materiales.</t>
  </si>
  <si>
    <t>01-12</t>
  </si>
  <si>
    <t>Zanjeo x metro ( 25 x 80cm) mas tendido de cable subterraneo hasta 4x10mm y relleno con protecciones mecánicas para longitudes de cable mayor a 10 metros</t>
  </si>
  <si>
    <t>Incluye: Zanjeo a 80cm de Prof., colocación de cable, cama de arena,  protección mecánica, y llenado de zanja y apisonado</t>
  </si>
  <si>
    <t>01-13</t>
  </si>
  <si>
    <t>Puesta a tierra: jabalina+caja de inspección</t>
  </si>
  <si>
    <t>Incluye: Hincado de jabalina, fijación de caja de inspección , canaleteado de cañería desde tablero a la
c. de inspección (2mts lineal) y conexión del conductos a jabalina, en caso de suelos duros incrementar costo en 30%</t>
  </si>
  <si>
    <t>02-00</t>
  </si>
  <si>
    <t>CANALIZACIÓN EMBUTIDA</t>
  </si>
  <si>
    <t>02-01</t>
  </si>
  <si>
    <t>Canalización Embutido</t>
  </si>
  <si>
    <t>Cañería  PVC rígido y caja de boca (centro, aplique y toma) hasta 50 bocas, Solo MO</t>
  </si>
  <si>
    <t>Para las cajas en losa, estos ítem incluyen los tramos de cañería que llegan o salen de la caja y la caja propiamente dicha. Para cajas en paredes, comprende el canaleteado de un promedio de 3mts de cañería y la caja rectangular, octogonal o cuadrada. Por lo general los tamaños de los tableros son proporcionales a los circuitos de la instalación , y en consecuencia a la cantidad de caños que  acometan al gabinete; por ello el canaleteado y amurado será más complejo y más oneroso cuanto más caños acometan. Las cajas de paso y/o derivación tienen tanto trabajo como una boca (boca definida  por la reglamentación AEA: punto de un circuito terminal, donde se conecta el aparato utilizador por medio de tomacorrientes o por medio de conexiones fijas -uniones o borneras- Considerar que una  boca puede ser a la vez: a) una caja de paso o una caja de derivación con un único circuito, o b)una  caja de paso con más de un circuito, o una caja de derivación con más de un circuito o una caja de   paso y derivación, si están ubicadas a una altura no inferior a 1,8mts. Los criterios generales para la consideración de la instalación de cajas en inmuebles,  están especificadas la reglamentación AEA 90364 parte 7 -771 paginas 42 a 44).</t>
  </si>
  <si>
    <t>02-02</t>
  </si>
  <si>
    <t>Cañería  PVC rígido y caja de paso y/o distribución, hasta 50 bocas, Solo MO</t>
  </si>
  <si>
    <t>02-03</t>
  </si>
  <si>
    <t>Cañería  PVC rígido y Caja para interruptores (punto o combinación) hasta 50 bocas, Solo MO</t>
  </si>
  <si>
    <t>02-04</t>
  </si>
  <si>
    <t>Cañería PVC rígido y caja de Boca(centro, aplique y toma) de 51 a 100 bocas, Solo MO</t>
  </si>
  <si>
    <t>02-05</t>
  </si>
  <si>
    <t>Cañería  PVC rígido y caja de paso y/o distribución, de 51 a 100 bocas, Solo MO</t>
  </si>
  <si>
    <t>02-06</t>
  </si>
  <si>
    <t>Cañería  PVC rígido  y Caja para interruptores (punto o combinación) de 51 a 100 bocas, Solo MO</t>
  </si>
  <si>
    <t>02-07</t>
  </si>
  <si>
    <t>Cañería  PVC rígido  y Colocación de TABLERO: multiplicar por 5 (bocas)</t>
  </si>
  <si>
    <t>02-08</t>
  </si>
  <si>
    <t>Cañería  PVC flexible y caja de Boca (centro, aplique y toma) hasta 50 bocas, Solo MO</t>
  </si>
  <si>
    <t>02-09</t>
  </si>
  <si>
    <t>Cañería  PVC flexible y caja de paso y/o distribución, hasta 50 bocas, Solo MO</t>
  </si>
  <si>
    <t>02-10</t>
  </si>
  <si>
    <t>Cañería  PVC flexible  y Caja para interruptores (punto o combinación) hasta 50 bocas, Solo MO</t>
  </si>
  <si>
    <t>02-11</t>
  </si>
  <si>
    <t>Cañería PVC flexible y caja de  Boca(centro, aplique y toma) de 51 a 100 bocas, Solo MO</t>
  </si>
  <si>
    <t>02-12</t>
  </si>
  <si>
    <t>Cañería  PVC flexible y caja de paso y/o distribución, de 51 a 100 bocas, Solo MO</t>
  </si>
  <si>
    <t>02-13</t>
  </si>
  <si>
    <t>02-14</t>
  </si>
  <si>
    <t>Cañería  PVC flexible  y Colocación de TABLERO: multiplicar por 5 (Bocas)</t>
  </si>
  <si>
    <t>02-15</t>
  </si>
  <si>
    <t>Cañería Metálica y caja de  Boca(centro, aplique y toma) hasta 50 bocas, Solo MO</t>
  </si>
  <si>
    <t>02-16</t>
  </si>
  <si>
    <t>Cañería  Metálica y Caja para interruptores (punto o combinación) hasta 50 bocas, Solo MO</t>
  </si>
  <si>
    <t>02-17</t>
  </si>
  <si>
    <t>Cañería Metálica y caja para interruptores (punto o combinación) hasta 50 bocas, Solo MO</t>
  </si>
  <si>
    <t>02-18</t>
  </si>
  <si>
    <t>Cañería Metálica y caja de  Boca(centro, aplique y toma) de 51 a 100 bocas, Solo MO</t>
  </si>
  <si>
    <t>02-19</t>
  </si>
  <si>
    <t>Cañería  Metálica y caja de paso y/o distribución, de 51 a 100 bocas, Solo MO</t>
  </si>
  <si>
    <t>02-20</t>
  </si>
  <si>
    <t>Cañería Metálica y caja para interruptores (punto o combinación) de 51 a 100 bocas, Solo MO</t>
  </si>
  <si>
    <t>02-21</t>
  </si>
  <si>
    <t>Cañería Metálica + Colocación de TABLERO: multiplicar por 5(Bocas)</t>
  </si>
  <si>
    <t>03-00</t>
  </si>
  <si>
    <t>CANALIZACIÓN EMBUTIDA EN DURLOCK</t>
  </si>
  <si>
    <t>03-01</t>
  </si>
  <si>
    <t xml:space="preserve">Canalización Embutido en Durlock </t>
  </si>
  <si>
    <t>Cañería  PVC rígido de Boca(centro, aplique , toma ,caja de interruptores y de distribución) hasta 50 cajas</t>
  </si>
  <si>
    <t>Las cañerías en Durlock deben rigidizarse correctamente para evitar fallas al momento del cableado.</t>
  </si>
  <si>
    <t>03-02</t>
  </si>
  <si>
    <t>Cañería  Metálica de Boca(centro, aplique , toma, caja de interruptores y de distribución) hasta 50 bocas</t>
  </si>
  <si>
    <t>04-00</t>
  </si>
  <si>
    <t xml:space="preserve">CANALIZACIÓN EXTERIOR </t>
  </si>
  <si>
    <t>04-01</t>
  </si>
  <si>
    <t xml:space="preserve">Canalización Exterior </t>
  </si>
  <si>
    <t>Cañería PVC x Boca (centro, aplique, toma, caja de interruptores y de distribución) hasta 50 bocas</t>
  </si>
  <si>
    <t>Se considera hasta 5m de cañería entre bocas.
Al momento de presupuestar considerar las curvas entre bocas para agregar cajas de paso/derivación, o en caso de columnas/vigas  prever perforación de la misma.
No es recomendable utilizar grampas tipo omega en ambientes húmedos o con polvos en suspensión, para evitar acumulación de agua o polvo entre el caño y el muro. Cuando se exija el empleo de empalmes con cuplas y conectores roscados incrementar el costo en un 25%</t>
  </si>
  <si>
    <t>04-02</t>
  </si>
  <si>
    <t>Cañería PVC x Boca (centro, aplique, toma, caja de interruptores y de distribución) desde 51 hasta 100 bocas</t>
  </si>
  <si>
    <t>04-03</t>
  </si>
  <si>
    <t>Cañería Metálica x Boca (centro, aplique, toma, caja de interruptores y de distribución) hasta 50 bocas</t>
  </si>
  <si>
    <t>04-04</t>
  </si>
  <si>
    <t>Cañería Metálica x Boca (centro, aplique, toma, caja de interruptores y de distribución) de 51 a 100 bocas</t>
  </si>
  <si>
    <t>04-05</t>
  </si>
  <si>
    <t>Metro adicional (canalización exterior)</t>
  </si>
  <si>
    <t>05-00</t>
  </si>
  <si>
    <t>CANALIZACIÓN DE CABLE CANAL</t>
  </si>
  <si>
    <t>05-01</t>
  </si>
  <si>
    <t>Canalización Cable - Canal</t>
  </si>
  <si>
    <t>Canal. Cable Canal x boca</t>
  </si>
  <si>
    <t>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</si>
  <si>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05-02</t>
  </si>
  <si>
    <t>Canal. Cable Canal hasta 50 bocas</t>
  </si>
  <si>
    <t>05-03</t>
  </si>
  <si>
    <t>Canal. Cable Canal de 51 a 100 bocas</t>
  </si>
  <si>
    <t>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</si>
  <si>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05-04</t>
  </si>
  <si>
    <t>Metro adicional / canal. Cable Canal</t>
  </si>
  <si>
    <t>06-00</t>
  </si>
  <si>
    <t xml:space="preserve">CANALIZACIÓN Y CABLEADO CON PISO DUCTOS / POLIDUCTOS </t>
  </si>
  <si>
    <t>06-01</t>
  </si>
  <si>
    <t xml:space="preserve">Canalización y Cableado con Piso Ductos / Poliductos </t>
  </si>
  <si>
    <t>Instalación de piso ductos x metros</t>
  </si>
  <si>
    <t>Comprende el armado de canalización con conductos de sección rectangular, con cuplas niveladoras entre tramos, sin relleno de hormigón.</t>
  </si>
  <si>
    <t>06-02</t>
  </si>
  <si>
    <t>Colocación de cajas de piso de tomas y o derivación o curvas verticales o curvas horizontales</t>
  </si>
  <si>
    <t>06-03</t>
  </si>
  <si>
    <t>Colocación de periscopios</t>
  </si>
  <si>
    <t>06-04</t>
  </si>
  <si>
    <t>Cableado por cada vía del piso ducto con cables de alimentación y/o de comunicación</t>
  </si>
  <si>
    <t>06-05</t>
  </si>
  <si>
    <t>Instalación de tomas en periscopios</t>
  </si>
  <si>
    <t>06-06</t>
  </si>
  <si>
    <t>Colocación de Tomas de TV,. Te con cableado</t>
  </si>
  <si>
    <t>06-07</t>
  </si>
  <si>
    <t>Colocación de Tomas de Red con cableado</t>
  </si>
  <si>
    <t>07-00</t>
  </si>
  <si>
    <t>CANALIZACIÓN CON BANDEJAS PORTA CABLES Y PERFIL C</t>
  </si>
  <si>
    <t>07-01</t>
  </si>
  <si>
    <t>Canalización con Bandejas Porta Cables y Perfil C</t>
  </si>
  <si>
    <t>Instalación a altura h&lt;4mts, anchos de bandeja hasta  300mm (escalera o perforada) C/ménsula</t>
  </si>
  <si>
    <t>Costos por tramos de 3m
No incluye el alquiler de andamios, escaleras, elevadores etc.</t>
  </si>
  <si>
    <t>07-02</t>
  </si>
  <si>
    <t>Instalación a altura h&lt;4mts, anchos de bandeja  de 450 y 600mm (escalera o perforada) C/ménsula</t>
  </si>
  <si>
    <t>07-03</t>
  </si>
  <si>
    <t>Instalación a altura h&gt;4mts, anchos de bandeja hasta 300mm (escalera o perforada) C/ménsula</t>
  </si>
  <si>
    <t>07-04</t>
  </si>
  <si>
    <t>Instalación a altura h&gt;4mts, anchos de bandeja de  450 y 600mm (escalera o perforada) C/ménsula</t>
  </si>
  <si>
    <t>07-05</t>
  </si>
  <si>
    <t>07-06</t>
  </si>
  <si>
    <t>Instalación a altura h&lt;4mts con perfil C P/ BPC 450 a 600</t>
  </si>
  <si>
    <t>08-00</t>
  </si>
  <si>
    <t>08-01</t>
  </si>
  <si>
    <t>Cableados en Cañerías</t>
  </si>
  <si>
    <t>Cableado de  Boca (centro, aplique y toma) hasta 50 bocas</t>
  </si>
  <si>
    <t>Este Valor es orientativo si se debe realizar cableado solo, El cableado en cañería es independiente de la cantidad de conductores, pues todos deben pasarse a la misma ves en un solo acto; por lo tanto no diferenciamos entre cableado de bocas de un efecto , de dos o tres, o combinación. La diferencia el costo está en el importe del elemento interruptor a instalarse en las cajas rectangulares.</t>
  </si>
  <si>
    <t>08-02</t>
  </si>
  <si>
    <t>Cableado de  Boca (centro, aplique y toma) de 51 a 100 bocas</t>
  </si>
  <si>
    <t>08-03</t>
  </si>
  <si>
    <t>09-00</t>
  </si>
  <si>
    <t xml:space="preserve">CABLEADO EN BANDEJAS PORTA CABLES </t>
  </si>
  <si>
    <t>09-01</t>
  </si>
  <si>
    <t>Cableado en Bande. Porta - Cables</t>
  </si>
  <si>
    <t>Cableado  de cables  subterráneos hasta 4 x 10mm²  o 1 x 35mm² a h &lt; 4mts (x metros)</t>
  </si>
  <si>
    <t>09-02</t>
  </si>
  <si>
    <t>Cableado  de cables  subterráneos mayores a 4 x 10mm²  o mayores 1 x 35mm² a h &lt; 4mts  (x metros)</t>
  </si>
  <si>
    <t>09-03</t>
  </si>
  <si>
    <t>Cableado  de cables  subterráneos hasta 4 x 10mm²  o 1 x 35mm² a h &gt; 4mts  (xmetros)</t>
  </si>
  <si>
    <t>09-04</t>
  </si>
  <si>
    <t>Cableado  de cables  subterráneos mayores a 4 x 10mm²  o mayores 1 x 35mm² a h &gt; 4mts  (x metros)</t>
  </si>
  <si>
    <t>10-00</t>
  </si>
  <si>
    <t>COLOCACIÓN DE INTERRUPTORES, TOMAS, ETC.</t>
  </si>
  <si>
    <t>10-01</t>
  </si>
  <si>
    <t>Colocación de Interruptores, tomas, etc</t>
  </si>
  <si>
    <t>Instalación de interruptores un efecto y/o pulsadores entre 1 y 10 bocas</t>
  </si>
  <si>
    <t>Importante: solo se admite la instalación de "punto más toma" en una caja rectangular en los baños de inmuebles. El toma ira conectado al circuito de iluminación. Las reglas del buen arte recomienda colocar el tomacorriente en una caja rectangular, en la zona 3 y conectado a un circuito de tomacorrientes.</t>
  </si>
  <si>
    <t>10-02</t>
  </si>
  <si>
    <t>Instalación de interruptores un efecto y/o pulsadores mas de 11 bocas</t>
  </si>
  <si>
    <t>10-03</t>
  </si>
  <si>
    <t>Instalación de interruptores un efecto combinación</t>
  </si>
  <si>
    <t>10-04</t>
  </si>
  <si>
    <t>Instalación de tomacorrientes simple entre 1 y 10 bocas</t>
  </si>
  <si>
    <t>10-05</t>
  </si>
  <si>
    <t>Instalación de tomacorrientes simple mas de 11 bocas</t>
  </si>
  <si>
    <t>10-06</t>
  </si>
  <si>
    <t>Instalación de tomacorrientes dobles entre 1 y 10 bocas</t>
  </si>
  <si>
    <t>10-07</t>
  </si>
  <si>
    <t>Instalación de tomacorrientes dobles mas de 11 bocas</t>
  </si>
  <si>
    <t xml:space="preserve">                                 Presupuesto</t>
  </si>
  <si>
    <t>10-08</t>
  </si>
  <si>
    <t>Instalación de tomacorrientes cuádruples en cajas 100x100</t>
  </si>
  <si>
    <t>10-09</t>
  </si>
  <si>
    <t>Instalación de interruptores un efecto combinación doble</t>
  </si>
  <si>
    <t>Nro Presupuesto</t>
  </si>
  <si>
    <t>10-10</t>
  </si>
  <si>
    <t>Instalación de interruptores un efecto  doble</t>
  </si>
  <si>
    <t>10-11</t>
  </si>
  <si>
    <t>Instalación de interruptores un efecto  triple</t>
  </si>
  <si>
    <t>10-12</t>
  </si>
  <si>
    <t>Instalación de Regulador de velocidad ventilador o dimmer de Intensidad</t>
  </si>
  <si>
    <t>10-13</t>
  </si>
  <si>
    <t>Instalación de Interruptor cuatro vías</t>
  </si>
  <si>
    <t>10-14</t>
  </si>
  <si>
    <t>Instalación de sensores de humo, gases, inundación, etc. en caja rect.</t>
  </si>
  <si>
    <t>11-00</t>
  </si>
  <si>
    <t>COLOCACIÓN DE ARTEFACTOS</t>
  </si>
  <si>
    <t>11-01</t>
  </si>
  <si>
    <t>Fecha</t>
  </si>
  <si>
    <t xml:space="preserve">Colocación de Artefactos </t>
  </si>
  <si>
    <t>Colocación de Artefacto tipo(aplique, extractores de baño, campanillas, etc.)</t>
  </si>
  <si>
    <t>Verificar la protección individual de cada artefacto (con fusibles ), pues la sección de los conductores  del cableado interno del artefacto no están protegidos por  los dispositivos instalados en los tableros . Estos interruptores están dimensionados según los conductores instalados en las canalizaciones. Por ejemplo una luminaria de tubos fluorescentes tienen conductores en su cableado interno de 0,5 mm2, y está conectado a un circuito con protecciones termomagnéticos de 2x10A, Es necesario entonces colocar un fusible de por lo menos 1A para evitar recalentamiento del cableado interno , posible foco de incendio. no contempla medios de elevación. Para elcaso de tiras led en perfil de aluminio incluye instalacion de la fuente correspondiente</t>
  </si>
  <si>
    <t>11-02</t>
  </si>
  <si>
    <t>Luminarias exterior montada en columna hasta 3 mts</t>
  </si>
  <si>
    <t>11-03</t>
  </si>
  <si>
    <t>Luminarias exterior montada en Brazos hasta 4mts de altura amurado a pared o columna</t>
  </si>
  <si>
    <t>11-04</t>
  </si>
  <si>
    <t>Luminarias exterior de aplicar en muro en intemperie (Ipx5 o Ipx6)</t>
  </si>
  <si>
    <t>Cliente</t>
  </si>
  <si>
    <t>11-05</t>
  </si>
  <si>
    <t>Spot Dicroica y/ halo spot con Trafo embutido ver ventilación trafo</t>
  </si>
  <si>
    <t>11-06</t>
  </si>
  <si>
    <t>Spot Incandescente de aplicar</t>
  </si>
  <si>
    <t>11-07</t>
  </si>
  <si>
    <t>Ventilador de techo (Incluye el tendido de conductor para el regulador de velocidad)</t>
  </si>
  <si>
    <t>Dirección obra</t>
  </si>
  <si>
    <t>11-08</t>
  </si>
  <si>
    <t>Instalacion de tiras led en perfil de aluminio, por tramos de hasta 3mts</t>
  </si>
  <si>
    <t>11-09</t>
  </si>
  <si>
    <t>Plafones embutidos en cielorraso de Durlock</t>
  </si>
  <si>
    <t>11-10</t>
  </si>
  <si>
    <t>Luminaria en intemperie amurado a pared</t>
  </si>
  <si>
    <t>11-11</t>
  </si>
  <si>
    <t>Luminarias &lt;1m en tierra con construcción de base de hormigón (no incluye tendido de cable subterráneo]</t>
  </si>
  <si>
    <t>11-12</t>
  </si>
  <si>
    <t>Luminarias &lt;1m en tierra sin construcción de base de hormigón (no incluye tendido de cable subterráneo]</t>
  </si>
  <si>
    <t>11-13</t>
  </si>
  <si>
    <t>Luminarias de piletas de natación y/o fuentes</t>
  </si>
  <si>
    <t>Subtotal</t>
  </si>
  <si>
    <t>11-14</t>
  </si>
  <si>
    <t>Instalación de  artefacto de iluminación con fotocélula individual</t>
  </si>
  <si>
    <t>11-15</t>
  </si>
  <si>
    <t>Instalación de luz de emergencia</t>
  </si>
  <si>
    <t>11-16</t>
  </si>
  <si>
    <t>Sistema autónoma para incorporar a artefacto</t>
  </si>
  <si>
    <t>11-17</t>
  </si>
  <si>
    <t>Armado y Colocación de luminarias a  &gt;6mts. De altura</t>
  </si>
  <si>
    <t>12-00</t>
  </si>
  <si>
    <t xml:space="preserve">Colocación de Elementos de Comando y Protección </t>
  </si>
  <si>
    <t>Instalación Interruptor Diferencial Bipolar en tablero nuevo</t>
  </si>
  <si>
    <t>COLOCACIÓN DE ELEMENTOS DE PROTECCIÓN Y COMANDO</t>
  </si>
  <si>
    <t>12-01</t>
  </si>
  <si>
    <t>Instalación Interruptor Termomagnético Bipolar en tablero nuevo</t>
  </si>
  <si>
    <t>12-02</t>
  </si>
  <si>
    <t>Instalación Interruptor Diferencial tetrapolar en el armado de tablero nuevo</t>
  </si>
  <si>
    <t>12-03</t>
  </si>
  <si>
    <t>Instalación Interruptor Termomagnético tetrapolar en el armado de tablero nuevo</t>
  </si>
  <si>
    <t>12-04</t>
  </si>
  <si>
    <t>Instalación Interruptor Diferencial Bipolar en tablero existente</t>
  </si>
  <si>
    <t>No Incluye la prevención de revisión y reparación de defectos(fugas de corriente)</t>
  </si>
  <si>
    <t>12-05</t>
  </si>
  <si>
    <t>Instalación Interruptor Diferencial Tetrapolar en tablero existente</t>
  </si>
  <si>
    <t>12-06</t>
  </si>
  <si>
    <t>Instalación Protector de sobretensiones por descargas atmosféricas monofásicos</t>
  </si>
  <si>
    <t>Incluye Interruptor termomagnético, protector y barra equipotencial a conectarse si esta no existiera.</t>
  </si>
  <si>
    <t>12-07</t>
  </si>
  <si>
    <t>Instalación Protector de sobretensiones por descargas atmosféricas trifásicos</t>
  </si>
  <si>
    <t>12-08</t>
  </si>
  <si>
    <t>Instalación Protector de sub y sobretensiones  monofásicos</t>
  </si>
  <si>
    <t>Incluye relé monitor de sub-sobre tensión más contactor o bobina de disparo sobre interruptor termomagnético</t>
  </si>
  <si>
    <t>12-09</t>
  </si>
  <si>
    <t>Instalación Protector de sub y sobretensiones  trifásicos</t>
  </si>
  <si>
    <t>12-10</t>
  </si>
  <si>
    <t>Instalación contactor inversor para control de circuitos esenciales y no esenciales</t>
  </si>
  <si>
    <t>Incluye dos contactores formato din con contactos auxiliares para enclavamiento</t>
  </si>
  <si>
    <t>12-11</t>
  </si>
  <si>
    <t>Armado e instalación de Tablero de comando de bomba de agua edificio departamentos</t>
  </si>
  <si>
    <t>Incluye el armado de tablero de comando y maniobra del motor de la bomba  de agua con tensiones de comando de 24vca o menor</t>
  </si>
  <si>
    <t>12-12</t>
  </si>
  <si>
    <t>Armado e instalación de Tablero de comando de bomba de agua domiciliaria</t>
  </si>
  <si>
    <t>12-13</t>
  </si>
  <si>
    <t>Instalación de sistema de automatización de bombeo (automáticos de tanque y cisterna)</t>
  </si>
  <si>
    <t>12-14</t>
  </si>
  <si>
    <t>Instalación de sistema de automatización de cartelería</t>
  </si>
  <si>
    <t>Incluye el armado de tablero con protecciones, contactor y temporizador y/o foto control</t>
  </si>
  <si>
    <t>12-15</t>
  </si>
  <si>
    <t>Instalación de interruptor de escalera en caja rectangular</t>
  </si>
  <si>
    <t>12-16</t>
  </si>
  <si>
    <t>Instalación de interruptor de escalera en tablero</t>
  </si>
  <si>
    <t>12-17</t>
  </si>
  <si>
    <t>Instalación de pararrayos hasta 5 pisos H &lt;= 20mts</t>
  </si>
  <si>
    <t>Incluye: instalación de pararrayo, cable de bajada en cañería desde 2 mts de altura amurada cada 1,5nmts, colocación de barra equipotencial, hincado de tres jabalinas y su conexión a barra equipotencial</t>
  </si>
  <si>
    <t>13-00</t>
  </si>
  <si>
    <t>TABLERO DE COMANDO DE MOTORES</t>
  </si>
  <si>
    <t>13-01</t>
  </si>
  <si>
    <t xml:space="preserve">Tablero de Comando y Motores </t>
  </si>
  <si>
    <t>1 arranque directo</t>
  </si>
  <si>
    <t>Estos tableros incluyen los siguientes elementos: Gabinete, interruptor de cabecera, bornera de distribución (si es necesario), protección contra corto circuito y sobrecarga (Guardamotor o fusibles+ relé térmico), contactor, protector por falta de fase, cable canal ranurado, borneras de entrada y salida, pilotos luminosos, llaves de comando (arranque, selectora manual - automático, etc. ) más accesorios</t>
  </si>
  <si>
    <t>13-02</t>
  </si>
  <si>
    <t>2 arranques directos</t>
  </si>
  <si>
    <t>13-03</t>
  </si>
  <si>
    <t>3 arranques directos</t>
  </si>
  <si>
    <t>13-04</t>
  </si>
  <si>
    <t>4 arranques directos</t>
  </si>
  <si>
    <t>13-05</t>
  </si>
  <si>
    <t>5 arranques directos</t>
  </si>
  <si>
    <t>13-06</t>
  </si>
  <si>
    <t>Mas de 5 arranques con automatismo</t>
  </si>
  <si>
    <t>Ídem anterior más módulo lógico programable con sus accesorios</t>
  </si>
  <si>
    <t>13-07</t>
  </si>
  <si>
    <t>Tablero de comando de sistema de purificación de aguas de pileta +  iluminación</t>
  </si>
  <si>
    <t>Comprende un arranque directo para bomba de filtro y transformador Clase II para iluminación con sus respectivas elementos de protecciones y maniobra</t>
  </si>
  <si>
    <t>13-08</t>
  </si>
  <si>
    <t>Tablero de comando de sistema riego automatizado 4 circuitos (con Autómatas programables)</t>
  </si>
  <si>
    <t>Tablero de arranque directo de una bomba más comando de electroválvulas con autómata programable</t>
  </si>
  <si>
    <t>13-09</t>
  </si>
  <si>
    <t>Tablero arranque estrella triangulo hasta 10 hp</t>
  </si>
  <si>
    <t>Incluyen: Conexión de: interruptor de cabecera, bornera de distribución,  protección contra corto circuito y sobrecarga (Guardamotor o fusibles+ relé térmico), contactores, protector por falta de fase, protector contra sobretensiones transitorias (pararrayos) y accesorios</t>
  </si>
  <si>
    <t>13-10</t>
  </si>
  <si>
    <t>Tablero arranque estrella triangulo hasta 30 hp</t>
  </si>
  <si>
    <t>13-11</t>
  </si>
  <si>
    <t>Tablero arranque estrella triangulo hasta 100 hp</t>
  </si>
  <si>
    <t>13-12</t>
  </si>
  <si>
    <t>Tablero de medidores hasta 5 medidores</t>
  </si>
  <si>
    <t>Agregado el 01/08/2022, colocar notas aclaratorias</t>
  </si>
  <si>
    <t>13-13</t>
  </si>
  <si>
    <t>Tablero de medidores hasta 10 medidores</t>
  </si>
  <si>
    <t>13-14</t>
  </si>
  <si>
    <t>Tablero de medidores hasta 16 medidores</t>
  </si>
  <si>
    <t>14-00</t>
  </si>
  <si>
    <t xml:space="preserve">EMERGENCIAS </t>
  </si>
  <si>
    <t>14-01</t>
  </si>
  <si>
    <t xml:space="preserve">Emergencias </t>
  </si>
  <si>
    <t>Lunes a viernes hasta 5km (tiempo máx. 4 horas)</t>
  </si>
  <si>
    <t>La tarea incluye:
1)Traslado al lugar de la emergencia.
2) Reparación de la anomalía.
3) Retorno al punto de partida.
La tarifa adicional por hora se cobra una vez cumplido el tiempo máximo</t>
  </si>
  <si>
    <t>14-02</t>
  </si>
  <si>
    <t>Lunes a viernes hasta 10km (tiempo máx. 4 horas 30 minutos)</t>
  </si>
  <si>
    <t>14-03</t>
  </si>
  <si>
    <t>Lunes a viernes hasta 20km (Tiempo máx. 5 horas)</t>
  </si>
  <si>
    <t>14-04</t>
  </si>
  <si>
    <t>Lunes a viernes, costo adicional por hora</t>
  </si>
  <si>
    <t>14-05</t>
  </si>
  <si>
    <t>Sábado, domingo o feriado hasta 5km (tiempo máx. 4 horas)</t>
  </si>
  <si>
    <t>14-06</t>
  </si>
  <si>
    <t>Sábado, domingo o feriado hasta 10km (Tiempo máx. 4 horas 30 minutos)</t>
  </si>
  <si>
    <t>14-07</t>
  </si>
  <si>
    <t>Sábado, domingo o feriado hasta 20km (Tiempo máx. 5 horas)</t>
  </si>
  <si>
    <t>14-08</t>
  </si>
  <si>
    <t>Sábado, domingo o feriado, costo adicional por hora</t>
  </si>
  <si>
    <t>15-00</t>
  </si>
  <si>
    <t>MANTENIMIENTO DE TABLEROS ELÉCTRICOS E INSTALACIONES ELECTRICAS</t>
  </si>
  <si>
    <t>15-01</t>
  </si>
  <si>
    <t xml:space="preserve">Mantenimiento de Tableros e Instalaciones Eléctricas </t>
  </si>
  <si>
    <t>Hasta 20 polos</t>
  </si>
  <si>
    <t>Revisión y verificación de calibre de conductores, estado de las aislaciones y torque en los bornes de conexión, limpieza general</t>
  </si>
  <si>
    <t>15-02</t>
  </si>
  <si>
    <t>hasta 50 polos</t>
  </si>
  <si>
    <t>15-03</t>
  </si>
  <si>
    <t>hasta 100 polos</t>
  </si>
  <si>
    <t>15-04</t>
  </si>
  <si>
    <t>arranque directo con contactores</t>
  </si>
  <si>
    <t>15-05</t>
  </si>
  <si>
    <t>verificación de las condiciones de seguridad para protección de las personas (importe básico)</t>
  </si>
  <si>
    <t>Verificación de accionamiento de interruptores diferenciales, tiempo de disparo y ensayo en circuitos terminales con dispositivos de prueba</t>
  </si>
  <si>
    <t>15-06</t>
  </si>
  <si>
    <t>Medición y verificación de resistencia del sistema puesta a tierra (x jabalina)</t>
  </si>
  <si>
    <t>Estas mediciones deben realizarse con instrumentos homologados por institutos o empresas autorizadas y según protocolo aprobado por el órgano de aplicación</t>
  </si>
  <si>
    <t>15-07</t>
  </si>
  <si>
    <t>Verificación de resistencia de aislación de instalaciones</t>
  </si>
  <si>
    <t>15-08</t>
  </si>
  <si>
    <t>medición de la impedancia del lazo de falla</t>
  </si>
  <si>
    <t>16-00</t>
  </si>
  <si>
    <t xml:space="preserve">VARIOS BAJA TENSIÓN </t>
  </si>
  <si>
    <t>16-01</t>
  </si>
  <si>
    <t xml:space="preserve">Varios Baja Tensión </t>
  </si>
  <si>
    <t>Cargo por diseño de instalación sin planos hasta 10 bocas con computo de materiales</t>
  </si>
  <si>
    <t>Muchas veces encaramos un trabajo sin proyecto de un profesional, o bien, nos solicitan la obra eléctrica fuera del proyecto original. En esta situación debemos agregar a nuestro trabajo manual un trabajo intelectual para desarrollar el proyecto según el requerimiento de quien nos contrata y por razones lógicas debemos efectuarlo en los tiempos adicionales a los que presupuestamos, en consecuencia debe determinarse su costo</t>
  </si>
  <si>
    <t>16-02</t>
  </si>
  <si>
    <t>Cargo por diseño de instalación sin planos hasta 25 bocas con computo de materiales</t>
  </si>
  <si>
    <t>16-03</t>
  </si>
  <si>
    <t>Cargo por diseño de instalación sin planos hasta 50 bocas con computo de materiales</t>
  </si>
  <si>
    <t>16-04</t>
  </si>
  <si>
    <t>Cargo por diseño de instalación sin planos hasta 100 bocas con computo de materiales</t>
  </si>
  <si>
    <t>16-05</t>
  </si>
  <si>
    <t>Cargo por diseño de instalación sin planos hasta 150 bocas con computo de materiales</t>
  </si>
  <si>
    <t>16-06</t>
  </si>
  <si>
    <t>Cargo por adquisición de materiales eléctricos para la obra (en porcentaje sobre total de materiales)</t>
  </si>
  <si>
    <t>Se calcula en base al importe de materiales gestionados, adoptándose un valor correspondiente al tiempo requerido para realizar dichas gestiones.</t>
  </si>
  <si>
    <t>16-07</t>
  </si>
  <si>
    <t>Sensores de movimiento y/o presencia</t>
  </si>
  <si>
    <t>16-08</t>
  </si>
  <si>
    <t>Empalme de cables subterráneos</t>
  </si>
  <si>
    <t>A realizarse con empalmes certificados con resina u otros tipos</t>
  </si>
  <si>
    <t>16-09</t>
  </si>
  <si>
    <t>Reparación de luminarias en altura &gt;4m</t>
  </si>
  <si>
    <t>16-10</t>
  </si>
  <si>
    <t>Reparación de artefactos de tubos fluorescentes</t>
  </si>
  <si>
    <t>16-11</t>
  </si>
  <si>
    <t>Revisión de fugas de corriente en instalaciones monofásicas mínimo 1 hora</t>
  </si>
  <si>
    <t>Verificación de la aislación de los conductores con megohmetro. Revisión de empalmes y sus aislaciones. Control de artefactos de iluminación y electrodomésticos. Etc.</t>
  </si>
  <si>
    <t>16-12</t>
  </si>
  <si>
    <t>Revisión de fugas de corriente en instalaciones trifásicas mínimo 1 hora</t>
  </si>
  <si>
    <t>16-13</t>
  </si>
  <si>
    <t>incremento por hora en revisión de fugas de corriente</t>
  </si>
  <si>
    <t>16-14</t>
  </si>
  <si>
    <t>Conexión de motores monofásicos</t>
  </si>
  <si>
    <t>16-15</t>
  </si>
  <si>
    <t>Colocación de interruptores para cortinas</t>
  </si>
  <si>
    <t>Interruptores conmutadores para cambio de giro de motor</t>
  </si>
  <si>
    <t>16-16</t>
  </si>
  <si>
    <t>Conexión de cartelería con interruptores horarios y/o fotocélulas</t>
  </si>
  <si>
    <t>16-17</t>
  </si>
  <si>
    <t>Conexión de paneles solares</t>
  </si>
  <si>
    <t>Incluye fijación de panel, conexión de baterías e inversores de tensión</t>
  </si>
  <si>
    <t>16-18</t>
  </si>
  <si>
    <t>Tablero con automatización de 4 canales (LOGO, ARRAY, ZELIO)</t>
  </si>
  <si>
    <t>Incluye el armado del tablero, la programación del autómata y la puesta en funcionamiento en el lugar de instalación</t>
  </si>
  <si>
    <t>16-19</t>
  </si>
  <si>
    <t>Tablero con automatización de 8 canales (LOGO, ARRAY, ZELIO)</t>
  </si>
  <si>
    <t>16-20</t>
  </si>
  <si>
    <t>Instalación de aire Split hasta 3500 frigorías S/instalación eléctrica</t>
  </si>
  <si>
    <t>costos de mano de obra sin material</t>
  </si>
  <si>
    <t>16-21</t>
  </si>
  <si>
    <t>Instalación de aire Split hasta 5000 frigorías S/instalación eléctrica</t>
  </si>
  <si>
    <t>16-22</t>
  </si>
  <si>
    <t>Tablero de corrección de factor de potencia monofásico hasta 2 Kvar</t>
  </si>
  <si>
    <t>Incluye el calculo y determinación de batería de capacitores, gabinete, protecciones y señalización</t>
  </si>
  <si>
    <t>16-23</t>
  </si>
  <si>
    <t>Tablero de corrección de factor de potencia trifásico directo hasta 10 Kvar</t>
  </si>
  <si>
    <t>16-24</t>
  </si>
  <si>
    <t>Tablero de corrección de factor de potencia trifásico directo hasta 20 Kvar</t>
  </si>
  <si>
    <t>16-25</t>
  </si>
  <si>
    <t>Tablero de corrección de factor de potencia trifásico con contactor hasta 10 Kvar</t>
  </si>
  <si>
    <t>incluye el calculo y determinación de batería de capacitores, gabinete, protecciones, maniobra con contactor (si es requerido) y temporizador mas señalización.</t>
  </si>
  <si>
    <t>16-26</t>
  </si>
  <si>
    <t>Tablero de corrección de factor de potencia trifásico con contactor hasta 20 Kvar</t>
  </si>
  <si>
    <t>16-27</t>
  </si>
  <si>
    <t>Tablero de corrección de factor de potencia automático hasta 50Kvar 6 pasos</t>
  </si>
  <si>
    <t>incluye el calculo y determinación de batería de capacitores, gabinete, protecciones, maniobra con contactor (si es requerido) y relé batimétrico mas señalización.</t>
  </si>
  <si>
    <t>16-28</t>
  </si>
  <si>
    <t>Tablero de corrección de factor de potencia automático hasta 100Kvar 6 pasos</t>
  </si>
  <si>
    <t>16-29</t>
  </si>
  <si>
    <t>Tablero de corrección de factor de potencia automático hasta 150Kvar 6 pasos</t>
  </si>
  <si>
    <t>17-00</t>
  </si>
  <si>
    <t>COLOCACIÓN DE PORTERO ELÉCTRICO UNIFAMILIAR</t>
  </si>
  <si>
    <t>17-01</t>
  </si>
  <si>
    <t>Colocación de Portero Eléctrico Unifamiliar</t>
  </si>
  <si>
    <t>Portero de un pulsador en domicilio hasta 20m</t>
  </si>
  <si>
    <t>No incluye canalización, se supone la existencia de la misma. Si no hay canalización, cotizarla</t>
  </si>
  <si>
    <t>17-02</t>
  </si>
  <si>
    <t>Portero de un pulsador con dos teléfonos en domicilio hasta 20m</t>
  </si>
  <si>
    <t>17-03</t>
  </si>
  <si>
    <t>Por elementos adicionales (teléfono, cerradura, repetidos,etc)</t>
  </si>
  <si>
    <t>17-04</t>
  </si>
  <si>
    <t>Colocación de portero eléctrico unifamiliar (audio video)</t>
  </si>
  <si>
    <t>17-05</t>
  </si>
  <si>
    <t>Por elementos adicionales portero con video (teléfono, cerradura, repetidos,etc)</t>
  </si>
  <si>
    <t>18-00</t>
  </si>
  <si>
    <t>COLOCACIÓN DE PORTERO ELÉCTRICO EN EDIFICIO (AUDIO SOLO) MULTIFAMILIAR</t>
  </si>
  <si>
    <t>18-01</t>
  </si>
  <si>
    <t>Colocación de Portero Eléctrico Multifamiliar (edificio - audio solo)</t>
  </si>
  <si>
    <t>Instalación de frente</t>
  </si>
  <si>
    <t>18-02</t>
  </si>
  <si>
    <t>Cableado por departamento</t>
  </si>
  <si>
    <t>18-03</t>
  </si>
  <si>
    <t>Cableado de línea troncal por caja de derivación</t>
  </si>
  <si>
    <t>18-04</t>
  </si>
  <si>
    <t>Colocación de teléfonos</t>
  </si>
  <si>
    <t>18-05</t>
  </si>
  <si>
    <t>Cerradura eléctrica</t>
  </si>
  <si>
    <t>19-00</t>
  </si>
  <si>
    <t>SISTEMAS DE SEGURIDAD</t>
  </si>
  <si>
    <t>19-01</t>
  </si>
  <si>
    <t xml:space="preserve">Sistemas de Seguridad </t>
  </si>
  <si>
    <t>Cableado de cámaras de seguridad por boca</t>
  </si>
  <si>
    <t>19-02</t>
  </si>
  <si>
    <t>Central hasta 6 cámaras de seguridad</t>
  </si>
  <si>
    <t>19-03</t>
  </si>
  <si>
    <t>Central de 6 a 18 cámaras</t>
  </si>
  <si>
    <t>19-04</t>
  </si>
  <si>
    <t>Central de CCTV</t>
  </si>
  <si>
    <t>20-00</t>
  </si>
  <si>
    <t xml:space="preserve">VARIOS CORRIENTES DÉBILES </t>
  </si>
  <si>
    <t>20-01</t>
  </si>
  <si>
    <t xml:space="preserve">Varios Corrientes Débiles </t>
  </si>
  <si>
    <t>Cableado de red, teléfono o tv x metro en cañería o cable canal</t>
  </si>
  <si>
    <t>20-02</t>
  </si>
  <si>
    <t>Cableado de red, teléfono o tv x metro en bandeja a &lt;4m de altura</t>
  </si>
  <si>
    <t>20-03</t>
  </si>
  <si>
    <t>Cableado de red, teléfono o tv x metro en bandeja a &gt;4m de altura</t>
  </si>
  <si>
    <t>20-04</t>
  </si>
  <si>
    <t>Colocación de fichas o tomas de teléfono o tv</t>
  </si>
  <si>
    <t>20-05</t>
  </si>
  <si>
    <t>Colocación de derivadores TV</t>
  </si>
  <si>
    <t>20-06</t>
  </si>
  <si>
    <t>Colocación de fichas o tomas de red</t>
  </si>
  <si>
    <t>20-07</t>
  </si>
  <si>
    <t>Colocación de tomas de TV y teléfono con cableado hasta 20m</t>
  </si>
  <si>
    <t>20-08</t>
  </si>
  <si>
    <t>Colocación de tomas de red con cableado hasta 20m</t>
  </si>
  <si>
    <t>21-00</t>
  </si>
  <si>
    <t>COMPUESTO DE INSTALACONES EMBUTIDAS</t>
  </si>
  <si>
    <t>21-01</t>
  </si>
  <si>
    <t xml:space="preserve">Compuesto Instalaciones Embutidas </t>
  </si>
  <si>
    <t>Instalación de una boca de tomacorriente simple con cañería metálica (hasta 50bocas)</t>
  </si>
  <si>
    <t>Suma de items 2,8 y10,  Para las cajas en losa, estos ítem incluyen los tramos de cañería que llegan o salen de la caja y la caja propiamente dicha. Para cajas en paredes, comprende el canaleteado de un promedio de 3mts de cañería y la caja rectangular, octogonal o cuadrada. Por lo general los tamaños  de los tableros son proporcionales a los circuitos de la instalación , y en consecuencia a la cantidad de caños que acometan al gabinete; por ello el canaleteado y amurado será más complejo y más oneroso cuanto más caños acometan. Las cajas de paso y/o derivación tienen tanto trabajo como una boca  (boca definida por la reglamentación AEA: punto de un circuito terminal, donde se conecta el aparato utilizador por medio de tomacorrientes o por medio de conexiones fijas -uniones o borneras- Considerar que una boca puede ser a la vez: a) una caja de paso o una caja de derivación con un único circuito, o
b)una caja de paso con más de un circuito, o una caja de derivación con más de un circuito o una caja de paso y derivación, si están ubicadas a una altura no inferior a 1,8mts. Los criterios generales para la consideración de la instalación de cajas en inmuebles,  están especificadas la reglamentación AEA 90364 parte 7 -771 paginas 42 a 44).</t>
  </si>
  <si>
    <t>21-02</t>
  </si>
  <si>
    <t>Instalación de una boca de tomacorriente doble con cañería metálica (hasta 50 bocas)</t>
  </si>
  <si>
    <t>21-03</t>
  </si>
  <si>
    <t>Instalación de una boca de iluminación con interruptor simple en cañería metálica (hasta 50 bocas)</t>
  </si>
  <si>
    <t>21-04</t>
  </si>
  <si>
    <t>Instalación de una boca de iluminación con interruptor combinación en cañería metálica (hasta 50 bocas)</t>
  </si>
  <si>
    <t>21-05</t>
  </si>
  <si>
    <t>Instalación de una boca de tomacorriente simple con cañería metálica (de 51 a 100 bocas)</t>
  </si>
  <si>
    <t>21-06</t>
  </si>
  <si>
    <t>Instalación de una boca de tomacorriente doble con cañería metálica (de 51 a 100 bocas)</t>
  </si>
  <si>
    <t>21-07</t>
  </si>
  <si>
    <t>Instalación de una boca de iluminación con interruptor simple en cañería metálica (de 51 a 100 bocas)</t>
  </si>
  <si>
    <t>21-08</t>
  </si>
  <si>
    <t>Instalación de una boca de iluminación con interruptor combinación en cañería metálica (de 51 a 100 bocas)</t>
  </si>
  <si>
    <t>21-09</t>
  </si>
  <si>
    <t>Instalación de una boca de tomacorriente simple con cañería PVC flexible (hasta 50bocas)</t>
  </si>
  <si>
    <t>21-10</t>
  </si>
  <si>
    <t>Instalación de una boca de tomacorriente doble con cañería PVC flexible (hasta 50 bocas)</t>
  </si>
  <si>
    <t>21-11</t>
  </si>
  <si>
    <t>Instalación de una boca de iluminación con interruptor simple en cañería PVC flexible (hasta 50 bocas)</t>
  </si>
  <si>
    <t>21-12</t>
  </si>
  <si>
    <t>Instalación de una boca de iluminación con interruptor combinación en cañería  PVC flexible (hasta 50 bocas)</t>
  </si>
  <si>
    <t>21-13</t>
  </si>
  <si>
    <t>Instalación de una boca de tomacorriente simple con cañería PVC flexible (de 51 a 100 bocas)</t>
  </si>
  <si>
    <t>21-14</t>
  </si>
  <si>
    <t>Instalación de una boca de tomacorriente doble con cañería PVC flexible (de 51 a 100 bocas)</t>
  </si>
  <si>
    <t>21-15</t>
  </si>
  <si>
    <t>Instalación de una boca de iluminación con interruptor simple en cañería PVC flexible (de 51 a 100 bocas)</t>
  </si>
  <si>
    <t>21-16</t>
  </si>
  <si>
    <t>Instalación de una boca de iluminación con interruptor combinación en cañería PVC flexible (de 51 a 100 bocas)</t>
  </si>
  <si>
    <t>22-00</t>
  </si>
  <si>
    <t xml:space="preserve">COMPUESTO DE CANALIZACIÓN EXTERIOR </t>
  </si>
  <si>
    <t>22-01</t>
  </si>
  <si>
    <t>Compuesto Instalaciones a la Vista</t>
  </si>
  <si>
    <t>Suma de items 4,8 y10,  Se considera hasta 5m de cañería entre bocas.
al momento de presupuestar considerar las curvas entre bocas para agregar cajas de paso/derivación, o en caso de columnas/vigas  prever perforación de la misma.
No es recomendable utilizar grampas tipo omega en ambientes húmedos o con polvos en suspensión, para evitar acumulación de agua o polvo entre el caño y el muro. Cuando se exija el empleo de empalmes con cuplas y conectores roscados incrementar el costo en un 25% y tener en cuenta metros adicionales sumando $4876 por cada uno de ellos segun se indica en item 04-05</t>
  </si>
  <si>
    <t>22-02</t>
  </si>
  <si>
    <t>Instalación de una boca de tomacorriente doble con cañería metálica(hasta 50 bocas)</t>
  </si>
  <si>
    <t>22-03</t>
  </si>
  <si>
    <t>22-04</t>
  </si>
  <si>
    <t>22-05</t>
  </si>
  <si>
    <t>22-06</t>
  </si>
  <si>
    <t>Instalación de una boca de tomacorriente doble con cañería metálica(de 51 a 100 bocas)</t>
  </si>
  <si>
    <t>22-07</t>
  </si>
  <si>
    <t>22-08</t>
  </si>
  <si>
    <t>22-09</t>
  </si>
  <si>
    <t>Instalación de una boca de tomacorriente simple con cañería PVC rígido (hasta 50bocas)</t>
  </si>
  <si>
    <t>22-10</t>
  </si>
  <si>
    <t>Instalación de una boca de tomacorriente doble con cañería PVC rígido (hasta 50 bocas)</t>
  </si>
  <si>
    <t>22-11</t>
  </si>
  <si>
    <t>Instalación de una boca de iluminación con interruptor simple en cañería PVC rígido  (hasta 50 bocas)</t>
  </si>
  <si>
    <t>22-12</t>
  </si>
  <si>
    <t>Instalación de una boca de iluminación con interruptor combinación en cañería  PVC rígido  (hasta 50 bocas)</t>
  </si>
  <si>
    <t>22-13</t>
  </si>
  <si>
    <t>Instalación de una boca de tomacorriente simple con cañería PVC rígido (de 51 a 100 bocas)</t>
  </si>
  <si>
    <t>22-14</t>
  </si>
  <si>
    <t>Instalación de una boca de tomacorriente doble con cañería PVC rígido (de 51 a 100 bocas)</t>
  </si>
  <si>
    <t>22-15</t>
  </si>
  <si>
    <t>Instalación de una boca de iluminación con interruptor simple en cañería PVC rígido (de 51 a 100 bocas)</t>
  </si>
  <si>
    <t>22-16</t>
  </si>
  <si>
    <t>Instalación de una boca de iluminación con interruptor combinación en cañería PVC rígido (de 51 a 100 bocas)</t>
  </si>
  <si>
    <t>23-00</t>
  </si>
  <si>
    <t>COMPUESTO DE INSTALACIONES CON CABLE CANAL</t>
  </si>
  <si>
    <t>23-01</t>
  </si>
  <si>
    <t>Compuesto Instalaciones con Cable - Canal</t>
  </si>
  <si>
    <t>Instalación de una boca de tomacorriente simple (hasta 50 bocas)</t>
  </si>
  <si>
    <t>Suma de items 5,8 y10,  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</si>
  <si>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23-02</t>
  </si>
  <si>
    <t>Instalación de una boca de iluminación con interruptor simple (hasta 50 bocas)</t>
  </si>
  <si>
    <t>23-03</t>
  </si>
  <si>
    <t>Notas Aclaratorias por codigos</t>
  </si>
  <si>
    <t>Instalación de una boca de tomacorriente doble (hasta 50 bocas)</t>
  </si>
  <si>
    <t>23-04</t>
  </si>
  <si>
    <t>Instalación de una boca de iluminación con interruptor doble (hasta 50 bocas)</t>
  </si>
  <si>
    <t>23-05</t>
  </si>
  <si>
    <t>metro adicional</t>
  </si>
  <si>
    <t>24-00</t>
  </si>
  <si>
    <t>COMPUESTO ACOMETIDA</t>
  </si>
  <si>
    <t>24-01</t>
  </si>
  <si>
    <t xml:space="preserve">Compuesto Acometida </t>
  </si>
  <si>
    <t>Certificado pilar de obra, acometida monofásica aérea con sistema doble aislación, hincado de jabalina y armado tablero de obra, no incluye construcción de pilar</t>
  </si>
  <si>
    <t>Suma de ítems 0 y 1</t>
  </si>
  <si>
    <t>24-02</t>
  </si>
  <si>
    <t>Certificado pilar de obra monofásica, acometida subterránea hasta 10Kw con sistema doble aislación, hincado de jabalina y armado tablero de obra monofásico, no incluye construcción de pilar</t>
  </si>
  <si>
    <t>24-03</t>
  </si>
  <si>
    <t>Certificado pilar de obra trifásico, acometida aérea hincado de jabalina y armado tablero de obra, no incluye construcción de pilar</t>
  </si>
  <si>
    <t>24-04</t>
  </si>
  <si>
    <t>Certificado pilar de obra trifásico, acometida subterránea hasta 10Kw con sistema doble aislación hincado de jabalina y armado tablero de obra monofásico, no incluye construcción de pilar</t>
  </si>
  <si>
    <t>25-00</t>
  </si>
  <si>
    <t>PERSONAL CONTRATADO</t>
  </si>
  <si>
    <t>25-01</t>
  </si>
  <si>
    <t xml:space="preserve">Personal Contratado </t>
  </si>
  <si>
    <t>Oficial electricista especializado (por hora)</t>
  </si>
  <si>
    <t>Valores por hora obtenidos de Electro instalador</t>
  </si>
  <si>
    <t>25-02</t>
  </si>
  <si>
    <t>Oficial electricista (por hora)</t>
  </si>
  <si>
    <t>25-03</t>
  </si>
  <si>
    <t>Medio oficial electricista (por hora)</t>
  </si>
  <si>
    <t>25-04</t>
  </si>
  <si>
    <t>Ayudante electricista (por hora)</t>
  </si>
  <si>
    <t>26-00</t>
  </si>
  <si>
    <t xml:space="preserve">Nueva Categoría </t>
  </si>
  <si>
    <t xml:space="preserve">Subtotal </t>
  </si>
  <si>
    <t>26-01</t>
  </si>
  <si>
    <t>Actividad 1</t>
  </si>
  <si>
    <t>Bonificacion de Visita de inspección.</t>
  </si>
  <si>
    <t>26-02</t>
  </si>
  <si>
    <t>Actividad 2</t>
  </si>
  <si>
    <t>Descuentos</t>
  </si>
  <si>
    <t>Corresponde descuento del %20 del total presupuestado con las formas de pagos indicadas y el cliente haya manifestado su forma de pago.</t>
  </si>
  <si>
    <t>26-03</t>
  </si>
  <si>
    <t>Actividad 3</t>
  </si>
  <si>
    <t>Corresponde a otros descuentos (ingreso manual)</t>
  </si>
  <si>
    <t>27-00</t>
  </si>
  <si>
    <t>Electroinstalador</t>
  </si>
  <si>
    <t>PURIFICACION (EI)</t>
  </si>
  <si>
    <t>27-01</t>
  </si>
  <si>
    <t>Purificación (EI)</t>
  </si>
  <si>
    <t>Extractor de aire en baño.</t>
  </si>
  <si>
    <t>27-02</t>
  </si>
  <si>
    <t>Extractor de aire en cocina.</t>
  </si>
  <si>
    <t>27-03</t>
  </si>
  <si>
    <t>Extractor de aire en cocina 240 mm</t>
  </si>
  <si>
    <t>27-04</t>
  </si>
  <si>
    <t>Campana tipo SPAR</t>
  </si>
  <si>
    <t>Formas De Pago</t>
  </si>
  <si>
    <t>28-00</t>
  </si>
  <si>
    <t>ELECTROINSTALADOR (Otros)</t>
  </si>
  <si>
    <t>28-01</t>
  </si>
  <si>
    <t>Visita y Documentación (EI)</t>
  </si>
  <si>
    <t>Visita de de inspección</t>
  </si>
  <si>
    <t>28-02</t>
  </si>
  <si>
    <t>Electroinstalador (Otros)</t>
  </si>
  <si>
    <t>Armado de pilar de obra Monofásico</t>
  </si>
  <si>
    <t>(Instalación transitoria o circunstancial) No incluye construcción de pilar</t>
  </si>
  <si>
    <t>28-03</t>
  </si>
  <si>
    <t>Armado de pilar de obra Trifásico</t>
  </si>
  <si>
    <t>28-04</t>
  </si>
  <si>
    <t>Armado de losa por boca</t>
  </si>
  <si>
    <t>Efectivo / Transferencia / QR</t>
  </si>
  <si>
    <t>Bandeja porta-cable de 50 a 200 mm x y carpeta 3 m de largo y a una altura máxima de 3 m	$ 31.200+IVA
Se toma referencial al valor de la unidad de cada bandeja con sus correspondientes soportes, cada uno a un metro de distancia y sobre superficie libre de obstáculos.</t>
  </si>
  <si>
    <t>28-05</t>
  </si>
  <si>
    <t>Certificado pilar transitorio.</t>
  </si>
  <si>
    <t>28-06</t>
  </si>
  <si>
    <t>Certificación y carpeta técnica de vivienda existente / nueva o local comercial. (Hasta 20 bocas)</t>
  </si>
  <si>
    <t>28-07</t>
  </si>
  <si>
    <t>Certificación de vivienda existente o local comercial (Más de 20 bocas).</t>
  </si>
  <si>
    <t xml:space="preserve">Cuotas, hasta 3 y 6 sin interés </t>
  </si>
  <si>
    <t>(corresponde al punto anterior (4) - precio adicional por boca a partir de la boca 21)</t>
  </si>
  <si>
    <t>Con Mercado Pago</t>
  </si>
  <si>
    <t>28-08</t>
  </si>
  <si>
    <t>Cableado de bocas</t>
  </si>
  <si>
    <t>(incluye colocación de porta lámpara y módulo de efecto)</t>
  </si>
  <si>
    <t>28-09</t>
  </si>
  <si>
    <t>Recableado de vivienda pre-existente</t>
  </si>
  <si>
    <t>28-10</t>
  </si>
  <si>
    <t>¡Electricidad Segura, Hogar Tranquilo!</t>
  </si>
  <si>
    <t>Armado de tablero monofónico por protección</t>
  </si>
  <si>
    <t>28-11</t>
  </si>
  <si>
    <t>Armado de tablero trifásico por protección</t>
  </si>
  <si>
    <t>28-12</t>
  </si>
  <si>
    <t>Colocación - conexión (EI)</t>
  </si>
  <si>
    <t>Colocación de elementos dispersor (Pat) MTS</t>
  </si>
  <si>
    <t>(Hincado de 1,5 m de jabalina + caja de inspección)</t>
  </si>
  <si>
    <t>28-13</t>
  </si>
  <si>
    <t>Colocación de artefacto de Iluminación (Hasta 3 m de altura).</t>
  </si>
  <si>
    <t>28-14</t>
  </si>
  <si>
    <t>Colocación de artefacto de Iluminación (Mayor a 3 m de altura).</t>
  </si>
  <si>
    <t>28-15</t>
  </si>
  <si>
    <t>Colocación o recambio de termomagnética y diferencial Monofásico</t>
  </si>
  <si>
    <t>28-16</t>
  </si>
  <si>
    <t>Colocación o recambio de termomagnética y diferencial trifásico</t>
  </si>
  <si>
    <t>28-17</t>
  </si>
  <si>
    <t>Conexión de motor Monofásico</t>
  </si>
  <si>
    <t>28-18</t>
  </si>
  <si>
    <t>Canalización embutida con cableado y colocación de artefacto o toma</t>
  </si>
  <si>
    <t>(Con tendido de caño hasta 5 m)</t>
  </si>
  <si>
    <t>28-19</t>
  </si>
  <si>
    <t>Canalización exterior con cableado y colocación de artefacto o toma.</t>
  </si>
  <si>
    <t>(Con tendido de caño hasta 5m)</t>
  </si>
  <si>
    <t>28-20</t>
  </si>
  <si>
    <t>Empalme de cable subterráneo.</t>
  </si>
  <si>
    <t>28-21</t>
  </si>
  <si>
    <t>Empalme de cable subterráneo (por hora extra).</t>
  </si>
  <si>
    <t>28-22</t>
  </si>
  <si>
    <t>Revisión de fugas de corriente en instalaciones monofónicas (Mínimo 1 hora)</t>
  </si>
  <si>
    <t>28-23</t>
  </si>
  <si>
    <t>Incremento por hora para revisión de fugas de corriente en instalaciones.</t>
  </si>
  <si>
    <t>28-24</t>
  </si>
  <si>
    <t>Ventilador de techo sin luces</t>
  </si>
  <si>
    <t>28-25</t>
  </si>
  <si>
    <t>Ventilador de techo con luces</t>
  </si>
  <si>
    <t>28-26</t>
  </si>
  <si>
    <t>Luz de emergencia</t>
  </si>
  <si>
    <t>(Luz de emergencia hasta 3 metros)</t>
  </si>
  <si>
    <t>28-27</t>
  </si>
  <si>
    <t>Revisión de tableros e instalación DFE protecciones del usuario</t>
  </si>
  <si>
    <t>28-28</t>
  </si>
  <si>
    <t>Valor de ayudante electricista por día.</t>
  </si>
  <si>
    <t>28-29</t>
  </si>
  <si>
    <t>Emergencia después de las 22 hs</t>
  </si>
  <si>
    <t>(Precio por hora)</t>
  </si>
  <si>
    <t>28-30</t>
  </si>
  <si>
    <t>Spot Led</t>
  </si>
  <si>
    <t>28-31</t>
  </si>
  <si>
    <t>Reparación de luminarias</t>
  </si>
  <si>
    <t>(Hasta 4m)</t>
  </si>
  <si>
    <t>28-32</t>
  </si>
  <si>
    <t>Zanjeo por metro - cableado IRAM - 2178 - subterráneo 25x80 cm (cama de arena colocación del cable.</t>
  </si>
  <si>
    <t>INCLUYE: Protección mecánica, colocación de la malla de prevención y tapado completo de zanja.
NO INCLUYE: La compra de los materiales.</t>
  </si>
  <si>
    <t>29-00</t>
  </si>
  <si>
    <t>EPAC +</t>
  </si>
  <si>
    <t>29-01</t>
  </si>
  <si>
    <t>Instalación Interruptor Termomagnético Bipolar en tablero existente</t>
  </si>
  <si>
    <t>29-02</t>
  </si>
  <si>
    <t>Instalación Interruptor Termomagnético Tetrapolar en tablero existente</t>
  </si>
  <si>
    <t>Actividad 5</t>
  </si>
  <si>
    <t>30-00</t>
  </si>
  <si>
    <t>AAIERIC</t>
  </si>
  <si>
    <t>Obra completa - Refacción - Ampliación (*) (AAIERIC)</t>
  </si>
  <si>
    <t>30-01</t>
  </si>
  <si>
    <t>Visita: Inspección Ocular, Evaluación, Diagnóstico, Asesoramiento y Presupuesto</t>
  </si>
  <si>
    <t>30-02</t>
  </si>
  <si>
    <t>Urgencia: Lunes a Sabado a partir 20:00 hs/Domingo y Feriado (mínimo)</t>
  </si>
  <si>
    <t>30-03</t>
  </si>
  <si>
    <t>Unidad básica de cotización para todo trabajo eléctrico: 1(una) boca completa.</t>
  </si>
  <si>
    <t>30-04</t>
  </si>
  <si>
    <t>Service - Instalación (mínimo)</t>
  </si>
  <si>
    <t>30-05</t>
  </si>
  <si>
    <t>Hora de Trabajo (mínimo)</t>
  </si>
  <si>
    <t>30-06</t>
  </si>
  <si>
    <t>Hora de Trabajo (promedio)</t>
  </si>
  <si>
    <t>31-00</t>
  </si>
  <si>
    <t>Canalización de cañería en losa</t>
  </si>
  <si>
    <t>31-01</t>
  </si>
  <si>
    <t>Canalización de cañería en losa (AAIERIC)</t>
  </si>
  <si>
    <t>Canalización en losa con caño metálico</t>
  </si>
  <si>
    <t>31-02</t>
  </si>
  <si>
    <t>Canalización en loseta con caño metálico</t>
  </si>
  <si>
    <t>32-00</t>
  </si>
  <si>
    <t>Amurado de cañeria en mampostería (AAIERIC)</t>
  </si>
  <si>
    <t>32-01</t>
  </si>
  <si>
    <t>Amurado de cañeria en mampostería - ladrillo común - boca</t>
  </si>
  <si>
    <t>32-02</t>
  </si>
  <si>
    <t>Amurado de cañeria en mampostería - ladrillo hueco - boca</t>
  </si>
  <si>
    <t>32-03</t>
  </si>
  <si>
    <t>Amurado de cañeria en mampostería - ladrillo común - xmetro</t>
  </si>
  <si>
    <t>32-04</t>
  </si>
  <si>
    <t>Amurado de cañeria en mampostería - ladrillo hueco - xmetro</t>
  </si>
  <si>
    <t>33-00</t>
  </si>
  <si>
    <t>Amurado de cañeria a la vista</t>
  </si>
  <si>
    <t>33-01</t>
  </si>
  <si>
    <t>Amurado de cañeria a la vista (AAIERIC)</t>
  </si>
  <si>
    <t>Amurado de cañeria a la vista - metal - boca</t>
  </si>
  <si>
    <t>33-02</t>
  </si>
  <si>
    <t>Amurado de cañeria a la vista - PVC - boca</t>
  </si>
  <si>
    <t>33-03</t>
  </si>
  <si>
    <t>Amurado de cañeria a la vista - Cable Canal (14x30) - boca</t>
  </si>
  <si>
    <t>34-00</t>
  </si>
  <si>
    <t>Pase de viga y/o columna (AAIERIC)</t>
  </si>
  <si>
    <t>34-01</t>
  </si>
  <si>
    <t>A razón de 1 (una) boca en viga y/o columna</t>
  </si>
  <si>
    <t>35-00</t>
  </si>
  <si>
    <t>Cable subterráneo (AAIERIC)</t>
  </si>
  <si>
    <t>35-01</t>
  </si>
  <si>
    <t>Cable subterráneo a razón de 1(una) boca cada 1m x tierra</t>
  </si>
  <si>
    <t>35-02</t>
  </si>
  <si>
    <t>Cable subterráneo a razón de 1(una) boca cada 1m x piso</t>
  </si>
  <si>
    <t>35-03</t>
  </si>
  <si>
    <t>Cable subterráneo Adicional por cada caja de paso x tierra</t>
  </si>
  <si>
    <t>35-04</t>
  </si>
  <si>
    <t>Cable subterráneo Adicional por cada caja de paso x piso</t>
  </si>
  <si>
    <t>36-00</t>
  </si>
  <si>
    <t>Cableado (AAIERIC)</t>
  </si>
  <si>
    <t>36-01</t>
  </si>
  <si>
    <t>Cableado en obra nueva - Opción 1</t>
  </si>
  <si>
    <t>Canalización realizada por el profesional x boca</t>
  </si>
  <si>
    <t>36-02</t>
  </si>
  <si>
    <t>Cableado en obra nueva - Opción 2</t>
  </si>
  <si>
    <t>Canalización realizada por otro profesional x boca</t>
  </si>
  <si>
    <t>36-03</t>
  </si>
  <si>
    <t>Recableado con artefactos</t>
  </si>
  <si>
    <t>No incluye cables pegados a la cañería o cualquier Artefacto colgante. Adicional x efecto 17113
otro vicio oculto en la instalación, lo cual se cotizará Artefacto colgante pesado - Mínimo 91894
en el momento.</t>
  </si>
  <si>
    <t>36-04</t>
  </si>
  <si>
    <t>Recableado sin artefactos</t>
  </si>
  <si>
    <t>37-00</t>
  </si>
  <si>
    <t>Conexión de Puntos y Tomas (AAIERIC)</t>
  </si>
  <si>
    <t>37-01</t>
  </si>
  <si>
    <t>Conexión Punto, toma simple, portalámpara</t>
  </si>
  <si>
    <t>x boca</t>
  </si>
  <si>
    <t>37-02</t>
  </si>
  <si>
    <t>Conexión Toma doble</t>
  </si>
  <si>
    <t>37-03</t>
  </si>
  <si>
    <t>Conexión Punto Combinación</t>
  </si>
  <si>
    <t>38-00</t>
  </si>
  <si>
    <t>Tableros (AAIERIC)</t>
  </si>
  <si>
    <t>38-01</t>
  </si>
  <si>
    <t>Tablero Principal con 1 ID y 1 TM + PAT (Monofásico)</t>
  </si>
  <si>
    <t>Incluye canalización, amurado y conexión - x unidad</t>
  </si>
  <si>
    <t>38-02</t>
  </si>
  <si>
    <t>Solo PAT (Monofásico)</t>
  </si>
  <si>
    <t>38-03</t>
  </si>
  <si>
    <t>Tablero Principal con 1 ID y 1 TM + PAT (Trifásico)</t>
  </si>
  <si>
    <t>38-04</t>
  </si>
  <si>
    <t>ID, ITM u otro módulo bipolar adicional (Trifásico)</t>
  </si>
  <si>
    <t>38-05</t>
  </si>
  <si>
    <t>ID tetrapolar (Trifásico)</t>
  </si>
  <si>
    <t>38-06</t>
  </si>
  <si>
    <t>ITM tetrapolar (Trifásico)</t>
  </si>
  <si>
    <t>38-07</t>
  </si>
  <si>
    <t>ITM tripolar (Trifásico)</t>
  </si>
  <si>
    <t>38-08</t>
  </si>
  <si>
    <t>Tableros Seccionales Hasta 8 polos</t>
  </si>
  <si>
    <t>38-09</t>
  </si>
  <si>
    <t>Tableros Seccionales De 8 a 36 polos</t>
  </si>
  <si>
    <t>38-10</t>
  </si>
  <si>
    <t>Tableros Seccionales De 36 a 54 polos</t>
  </si>
  <si>
    <t>38-11</t>
  </si>
  <si>
    <t>Tableros especiales A criterio del instalador según variables.</t>
  </si>
  <si>
    <t>39-00</t>
  </si>
  <si>
    <t>Colocación de Artefactos de iluminación y otros (AAIERIC)</t>
  </si>
  <si>
    <t>39-01</t>
  </si>
  <si>
    <t>Colocación Artefacto aplique simple</t>
  </si>
  <si>
    <t>x unidad</t>
  </si>
  <si>
    <t>39-02</t>
  </si>
  <si>
    <t>Colocación Spot Led por unidad</t>
  </si>
  <si>
    <t>39-03</t>
  </si>
  <si>
    <t>Colocación Artefacto colgante liviano 3 luces 1 efecto</t>
  </si>
  <si>
    <t>39-04</t>
  </si>
  <si>
    <t>Colocación Artefacto colgante liviano 5 luces 1 efecto</t>
  </si>
  <si>
    <t>39-05</t>
  </si>
  <si>
    <t>Colocación Artefacto colgante. Adicional x efecto</t>
  </si>
  <si>
    <t>39-06</t>
  </si>
  <si>
    <t>Colocación Artefacto colgante pesado - Mínimo</t>
  </si>
  <si>
    <t>39-07</t>
  </si>
  <si>
    <t>Colocación Equipo de tubo Led simple de 7 W a 36 W</t>
  </si>
  <si>
    <t>39-08</t>
  </si>
  <si>
    <t>Colocación Equipo de tubo Led doble de 7 W a 36 W</t>
  </si>
  <si>
    <t>39-09</t>
  </si>
  <si>
    <t>Colocación Equipo de tubo Led 45 W</t>
  </si>
  <si>
    <t>39-10</t>
  </si>
  <si>
    <t>Colocación Equipo de tubo Led doble 45 W</t>
  </si>
  <si>
    <t>39-11</t>
  </si>
  <si>
    <t>Colocación Ventilador de techo</t>
  </si>
  <si>
    <t>39-12</t>
  </si>
  <si>
    <t>Colocación Ventilador de techo con luminaria 1 efecto</t>
  </si>
  <si>
    <t>40-00</t>
  </si>
  <si>
    <t>Acometida (amurado + conexión)</t>
  </si>
  <si>
    <t>40-01</t>
  </si>
  <si>
    <t>Acometida (amurado + conexión) (AAIERIC)</t>
  </si>
  <si>
    <t>Gabinete 1 Medidor Monofásico</t>
  </si>
  <si>
    <t>En pilar/muro existente + PAT de Servicio</t>
  </si>
  <si>
    <t>40-02</t>
  </si>
  <si>
    <t>Gabinete 2 Medidores Monofásicos</t>
  </si>
  <si>
    <t>40-03</t>
  </si>
  <si>
    <t>Gabinete 3 Medidores Monofásicos *</t>
  </si>
  <si>
    <t>En pilar/muro existente + PAT de Servicio *Se incluye Caja de Toma 63A (EDENOR-EDESUR)</t>
  </si>
  <si>
    <t>40-04</t>
  </si>
  <si>
    <t>Gabinete 4 Medidores Monofásicos *</t>
  </si>
  <si>
    <t>40-05</t>
  </si>
  <si>
    <t>PAT de Servicio (jabalina + caja de insp.)</t>
  </si>
  <si>
    <t>40-06</t>
  </si>
  <si>
    <t>Pilar completo (Gabinete, TP, Caño y PAT</t>
  </si>
  <si>
    <t>40-07</t>
  </si>
  <si>
    <t>Caño de acometida (amurado y conexión)</t>
  </si>
  <si>
    <t>40-08</t>
  </si>
  <si>
    <t>Caja de Toma (Fusilera NH 00)</t>
  </si>
  <si>
    <t>40-09</t>
  </si>
  <si>
    <t>Agregado de un gabinete de medidor + TP</t>
  </si>
  <si>
    <t>41-00</t>
  </si>
  <si>
    <t>Bandejas Portacables x metro (AAIERIC)</t>
  </si>
  <si>
    <t>41-01</t>
  </si>
  <si>
    <t>Bandejas Portacables hasta 150mm de ancho Por metro lineal H&lt;3m</t>
  </si>
  <si>
    <t>Altura máxima hasta 3 metros</t>
  </si>
  <si>
    <t>41-02</t>
  </si>
  <si>
    <t>Bandejas Portacables hasta 150mm de ancho Por c/accesorio (Curva plana, Unión T) H&lt;3m</t>
  </si>
  <si>
    <t>41-03</t>
  </si>
  <si>
    <t>Bandejas Portacables hasta 150mm de ancho Otros accesorios H&lt;3m</t>
  </si>
  <si>
    <t>41-04</t>
  </si>
  <si>
    <t>Bandejas Portacables hasta 150mm de ancho Por metro lineal H&gt;3m</t>
  </si>
  <si>
    <t>Altura mínima desde 3 metros</t>
  </si>
  <si>
    <t>41-05</t>
  </si>
  <si>
    <t>Bandejas Portacables hasta 150mm de ancho Por c/accesorio (Curva plana, Unión T) H&gt;3m</t>
  </si>
  <si>
    <t>41-06</t>
  </si>
  <si>
    <t>Bandejas Portacables hasta 150mm de ancho Otros accesorios H&gt;3m</t>
  </si>
  <si>
    <t>41-07</t>
  </si>
  <si>
    <t>Bandejas Portacables 200/300mm de ancho Por metro lineal H&lt;3m</t>
  </si>
  <si>
    <t>41-08</t>
  </si>
  <si>
    <t>Bandejas Portacables 200/300mm de ancho Por c/accesorio (Curva plana, Unión T) H&lt;3m</t>
  </si>
  <si>
    <t>41-09</t>
  </si>
  <si>
    <t>Bandejas Portacables 200/300mm de ancho Otros accesorios H&lt;3m</t>
  </si>
  <si>
    <t>41-10</t>
  </si>
  <si>
    <t>Bandejas Portacables 200/300mm de ancho Por metro lineal H&gt;3m</t>
  </si>
  <si>
    <t>41-11</t>
  </si>
  <si>
    <t>Bandejas Portacables 200/300mm de ancho Por c/accesorio (Curva plana, Unión T) H&gt;3m</t>
  </si>
  <si>
    <t>41-12</t>
  </si>
  <si>
    <t>Bandejas Portacables 200/300mm de ancho Otros accesorios H&gt;3m</t>
  </si>
  <si>
    <t>41-13</t>
  </si>
  <si>
    <t>Bandejas Portacables 450/600 mm de ancho Por metro lineal H&lt;3m</t>
  </si>
  <si>
    <t>41-14</t>
  </si>
  <si>
    <t>Bandejas Portacables 450/600 mm de ancho Por c/accesorio (Curva plana, Unión T) H&lt;3m</t>
  </si>
  <si>
    <t>41-15</t>
  </si>
  <si>
    <t>Bandejas Portacables 450/600 mm de ancho Otros accesorios H&lt;3m</t>
  </si>
  <si>
    <t>41-16</t>
  </si>
  <si>
    <t>Bandejas Portacables 450/600 mm de ancho Por metro lineal H&gt;3m</t>
  </si>
  <si>
    <t>41-17</t>
  </si>
  <si>
    <t>Bandejas Portacables 450/600 mm de ancho Por c/accesorio (Curva plana, Unión T) H&gt;3m</t>
  </si>
  <si>
    <t>41-18</t>
  </si>
  <si>
    <t>Bandejas Portacables 450/600 mm de ancho Otros accesorios H&gt;3m</t>
  </si>
  <si>
    <t>FEDECOR</t>
  </si>
  <si>
    <t xml:space="preserve">Próximamente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</si>
</sst>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m/d/yyyy h:mm:ss"/>
    <numFmt numFmtId="166" formatCode="dd/mm/yyyy"/>
    <numFmt numFmtId="167" formatCode="[$$-2C0A]\ #,##0"/>
  </numFmts>
  <fonts count="21">
    <font>
      <sz val="10.0"/>
      <color rgb="FF000000"/>
      <name val="Arial"/>
      <scheme val="minor"/>
    </font>
    <font>
      <color theme="1"/>
      <name val="Arial"/>
    </font>
    <font>
      <b/>
      <color rgb="FF3D85C6"/>
      <name val="Arial"/>
    </font>
    <font>
      <b/>
      <sz val="12.0"/>
      <color theme="1"/>
      <name val="Arial"/>
    </font>
    <font>
      <color rgb="FF0B5394"/>
      <name val="Arial"/>
    </font>
    <font>
      <b/>
      <sz val="14.0"/>
      <color theme="1"/>
      <name val="Arial"/>
    </font>
    <font/>
    <font>
      <u/>
      <color rgb="FF0000FF"/>
    </font>
    <font>
      <sz val="8.0"/>
      <color theme="1"/>
      <name val="Arial"/>
    </font>
    <font>
      <sz val="8.0"/>
      <color rgb="FF000000"/>
      <name val="Arial"/>
    </font>
    <font>
      <sz val="8.0"/>
      <color rgb="FF333333"/>
      <name val="Arial"/>
    </font>
    <font>
      <sz val="14.0"/>
      <color rgb="FF000000"/>
      <name val="Arial"/>
    </font>
    <font>
      <sz val="8.0"/>
      <color rgb="FF7F7F7F"/>
      <name val="Arial"/>
    </font>
    <font>
      <b/>
      <sz val="9.0"/>
      <color rgb="FF000000"/>
      <name val="Arial"/>
    </font>
    <font>
      <b/>
      <sz val="9.0"/>
      <color theme="1"/>
      <name val="Arial"/>
    </font>
    <font>
      <color theme="1"/>
      <name val="Arial"/>
      <scheme val="minor"/>
    </font>
    <font>
      <b/>
      <color theme="1"/>
      <name val="Arial"/>
    </font>
    <font>
      <b/>
      <sz val="16.0"/>
      <color rgb="FF000000"/>
      <name val="Arial"/>
    </font>
    <font>
      <b/>
      <sz val="7.0"/>
      <color rgb="FF666666"/>
      <name val="Arial"/>
    </font>
    <font>
      <b/>
      <color rgb="FF666666"/>
      <name val="Arial"/>
    </font>
    <font>
      <b/>
      <sz val="14.0"/>
      <color rgb="FF000000"/>
      <name val="Arial"/>
    </font>
  </fonts>
  <fills count="12">
    <fill>
      <patternFill patternType="none"/>
    </fill>
    <fill>
      <patternFill patternType="lightGray"/>
    </fill>
    <fill>
      <patternFill patternType="solid">
        <fgColor rgb="FFC9DAF8"/>
        <bgColor rgb="FFC9DAF8"/>
      </patternFill>
    </fill>
    <fill>
      <patternFill patternType="solid">
        <fgColor rgb="FF4A86E8"/>
        <bgColor rgb="FF4A86E8"/>
      </patternFill>
    </fill>
    <fill>
      <patternFill patternType="solid">
        <fgColor rgb="FFA4C2F4"/>
        <bgColor rgb="FFA4C2F4"/>
      </patternFill>
    </fill>
    <fill>
      <patternFill patternType="solid">
        <fgColor rgb="FFF46524"/>
        <bgColor rgb="FFF46524"/>
      </patternFill>
    </fill>
    <fill>
      <patternFill patternType="solid">
        <fgColor rgb="FFFFFFFF"/>
        <bgColor rgb="FFFFFFFF"/>
      </patternFill>
    </fill>
    <fill>
      <patternFill patternType="solid">
        <fgColor rgb="FFFFE6DD"/>
        <bgColor rgb="FFFFE6DD"/>
      </patternFill>
    </fill>
    <fill>
      <patternFill patternType="solid">
        <fgColor rgb="FFCCCCCC"/>
        <bgColor rgb="FFCCCCCC"/>
      </patternFill>
    </fill>
    <fill>
      <patternFill patternType="solid">
        <fgColor rgb="FFD9D9D9"/>
        <bgColor rgb="FFD9D9D9"/>
      </patternFill>
    </fill>
    <fill>
      <patternFill patternType="solid">
        <fgColor rgb="FFD8D8D8"/>
        <bgColor rgb="FFD8D8D8"/>
      </patternFill>
    </fill>
    <fill>
      <patternFill patternType="solid">
        <fgColor rgb="FF6FA8DC"/>
        <bgColor rgb="FF6FA8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ck">
        <color rgb="FF666666"/>
      </left>
      <right style="thick">
        <color rgb="FF666666"/>
      </right>
      <top style="thick">
        <color rgb="FF666666"/>
      </top>
      <bottom style="thick">
        <color rgb="FF666666"/>
      </bottom>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left/>
      <right/>
      <top/>
      <bottom/>
    </border>
    <border>
      <left/>
      <top/>
      <bottom/>
    </border>
    <border>
      <top/>
      <bottom/>
    </border>
    <border>
      <top style="thin">
        <color rgb="FF000000"/>
      </top>
    </border>
    <border>
      <left/>
      <top/>
    </border>
    <border>
      <top/>
    </border>
    <border>
      <left/>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9" xfId="0" applyFont="1" applyNumberFormat="1"/>
    <xf borderId="0" fillId="0" fontId="1" numFmtId="165" xfId="0" applyFont="1" applyNumberFormat="1"/>
    <xf borderId="0" fillId="0" fontId="2" numFmtId="0" xfId="0" applyFont="1"/>
    <xf borderId="1" fillId="2" fontId="3" numFmtId="0" xfId="0" applyBorder="1" applyFill="1" applyFont="1"/>
    <xf borderId="1" fillId="0" fontId="1" numFmtId="166" xfId="0" applyAlignment="1" applyBorder="1" applyFont="1" applyNumberFormat="1">
      <alignment horizontal="left"/>
    </xf>
    <xf borderId="0" fillId="0" fontId="1" numFmtId="3" xfId="0" applyFont="1" applyNumberFormat="1"/>
    <xf borderId="0" fillId="0" fontId="4" numFmtId="0" xfId="0" applyFont="1"/>
    <xf borderId="1" fillId="0" fontId="1" numFmtId="0" xfId="0" applyBorder="1" applyFont="1"/>
    <xf borderId="2" fillId="2" fontId="5" numFmtId="0" xfId="0" applyBorder="1" applyFont="1"/>
    <xf borderId="3" fillId="2" fontId="5" numFmtId="0" xfId="0" applyAlignment="1" applyBorder="1" applyFont="1">
      <alignment horizontal="center"/>
    </xf>
    <xf borderId="4" fillId="0" fontId="6" numFmtId="0" xfId="0" applyBorder="1" applyFont="1"/>
    <xf borderId="5" fillId="0" fontId="6" numFmtId="0" xfId="0" applyBorder="1" applyFont="1"/>
    <xf borderId="2" fillId="2" fontId="5" numFmtId="0" xfId="0" applyAlignment="1" applyBorder="1" applyFont="1">
      <alignment shrinkToFit="0" wrapText="1"/>
    </xf>
    <xf borderId="0" fillId="0" fontId="5" numFmtId="0" xfId="0" applyFont="1"/>
    <xf borderId="6" fillId="0" fontId="6" numFmtId="0" xfId="0" applyBorder="1" applyFont="1"/>
    <xf borderId="7" fillId="0" fontId="1" numFmtId="0" xfId="0" applyBorder="1" applyFont="1"/>
    <xf borderId="8" fillId="3" fontId="1" numFmtId="0" xfId="0" applyBorder="1" applyFill="1" applyFont="1"/>
    <xf borderId="2" fillId="0" fontId="1" numFmtId="0" xfId="0" applyBorder="1" applyFont="1"/>
    <xf borderId="2" fillId="3" fontId="1" numFmtId="0" xfId="0" applyBorder="1" applyFont="1"/>
    <xf borderId="9" fillId="3" fontId="1" numFmtId="0" xfId="0" applyBorder="1" applyFont="1"/>
    <xf borderId="0" fillId="0" fontId="7" numFmtId="0" xfId="0" applyFont="1"/>
    <xf borderId="2" fillId="4" fontId="1" numFmtId="0" xfId="0" applyBorder="1" applyFill="1" applyFont="1"/>
    <xf borderId="10" fillId="3" fontId="1" numFmtId="0" xfId="0" applyBorder="1" applyFont="1"/>
    <xf borderId="9" fillId="0" fontId="1" numFmtId="0" xfId="0" applyBorder="1" applyFont="1"/>
    <xf borderId="9" fillId="4" fontId="1" numFmtId="0" xfId="0" applyBorder="1" applyFont="1"/>
    <xf borderId="7" fillId="0" fontId="1" numFmtId="9" xfId="0" applyBorder="1" applyFont="1" applyNumberFormat="1"/>
    <xf borderId="0" fillId="0" fontId="1" numFmtId="0" xfId="0" applyAlignment="1" applyFont="1">
      <alignment shrinkToFit="0" wrapText="1"/>
    </xf>
    <xf borderId="7" fillId="0" fontId="1" numFmtId="164" xfId="0" applyBorder="1" applyFont="1" applyNumberFormat="1"/>
    <xf borderId="11" fillId="3" fontId="1" numFmtId="0" xfId="0" applyBorder="1" applyFont="1"/>
    <xf borderId="6" fillId="0" fontId="1" numFmtId="0" xfId="0" applyBorder="1" applyFont="1"/>
    <xf borderId="6" fillId="3" fontId="1" numFmtId="0" xfId="0" applyBorder="1" applyFont="1"/>
    <xf borderId="6" fillId="4" fontId="1" numFmtId="0" xfId="0" applyBorder="1" applyFont="1"/>
    <xf borderId="0" fillId="3" fontId="1" numFmtId="0" xfId="0" applyFont="1"/>
    <xf borderId="0" fillId="5" fontId="8" numFmtId="1" xfId="0" applyAlignment="1" applyFill="1" applyFont="1" applyNumberFormat="1">
      <alignment horizontal="left" shrinkToFit="0" vertical="top" wrapText="1"/>
    </xf>
    <xf borderId="0" fillId="5" fontId="8" numFmtId="0" xfId="0" applyAlignment="1" applyFont="1">
      <alignment horizontal="left" shrinkToFit="0" vertical="top" wrapText="1"/>
    </xf>
    <xf borderId="0" fillId="5" fontId="8" numFmtId="0" xfId="0" applyAlignment="1" applyFont="1">
      <alignment shrinkToFit="0" vertical="top" wrapText="1"/>
    </xf>
    <xf borderId="0" fillId="5" fontId="8" numFmtId="0" xfId="0" applyAlignment="1" applyFont="1">
      <alignment horizontal="right" shrinkToFit="0" vertical="top" wrapText="1"/>
    </xf>
    <xf borderId="0" fillId="5" fontId="1" numFmtId="0" xfId="0" applyFont="1"/>
    <xf borderId="0" fillId="6" fontId="9" numFmtId="49" xfId="0" applyAlignment="1" applyFill="1" applyFont="1" applyNumberFormat="1">
      <alignment horizontal="left" shrinkToFit="1" vertical="top" wrapText="0"/>
    </xf>
    <xf borderId="0" fillId="6" fontId="10" numFmtId="0" xfId="0" applyAlignment="1" applyFont="1">
      <alignment horizontal="left" shrinkToFit="0" vertical="top" wrapText="1"/>
    </xf>
    <xf borderId="0" fillId="6" fontId="9" numFmtId="1" xfId="0" applyAlignment="1" applyFont="1" applyNumberFormat="1">
      <alignment shrinkToFit="1" vertical="top" wrapText="0"/>
    </xf>
    <xf borderId="0" fillId="6" fontId="8" numFmtId="0" xfId="0" applyAlignment="1" applyFont="1">
      <alignment shrinkToFit="0" vertical="top" wrapText="1"/>
    </xf>
    <xf borderId="0" fillId="6" fontId="8" numFmtId="3" xfId="0" applyAlignment="1" applyFont="1" applyNumberFormat="1">
      <alignment horizontal="right" shrinkToFit="0" vertical="top" wrapText="1"/>
    </xf>
    <xf borderId="0" fillId="6" fontId="1" numFmtId="0" xfId="0" applyFont="1"/>
    <xf borderId="0" fillId="7" fontId="10" numFmtId="49" xfId="0" applyAlignment="1" applyFill="1" applyFont="1" applyNumberFormat="1">
      <alignment horizontal="left" shrinkToFit="0" vertical="top" wrapText="1"/>
    </xf>
    <xf borderId="0" fillId="7" fontId="10" numFmtId="0" xfId="0" applyAlignment="1" applyFont="1">
      <alignment horizontal="left" shrinkToFit="0" vertical="top" wrapText="1"/>
    </xf>
    <xf borderId="0" fillId="7" fontId="8" numFmtId="0" xfId="0" applyAlignment="1" applyFont="1">
      <alignment shrinkToFit="0" vertical="top" wrapText="1"/>
    </xf>
    <xf borderId="0" fillId="7" fontId="10" numFmtId="0" xfId="0" applyAlignment="1" applyFont="1">
      <alignment horizontal="left" shrinkToFit="0" vertical="center" wrapText="1"/>
    </xf>
    <xf borderId="0" fillId="7" fontId="9" numFmtId="3" xfId="0" applyAlignment="1" applyFont="1" applyNumberFormat="1">
      <alignment horizontal="right" shrinkToFit="1" vertical="center" wrapText="0"/>
    </xf>
    <xf borderId="0" fillId="7" fontId="8" numFmtId="0" xfId="0" applyAlignment="1" applyFont="1">
      <alignment horizontal="left" shrinkToFit="0" vertical="top" wrapText="1"/>
    </xf>
    <xf borderId="0" fillId="7" fontId="1" numFmtId="0" xfId="0" applyFont="1"/>
    <xf borderId="0" fillId="6" fontId="10" numFmtId="49" xfId="0" applyAlignment="1" applyFont="1" applyNumberFormat="1">
      <alignment horizontal="left" shrinkToFit="0" vertical="top" wrapText="1"/>
    </xf>
    <xf borderId="0" fillId="6" fontId="10" numFmtId="0" xfId="0" applyAlignment="1" applyFont="1">
      <alignment horizontal="left" shrinkToFit="0" vertical="center" wrapText="1"/>
    </xf>
    <xf borderId="0" fillId="6" fontId="9" numFmtId="3" xfId="0" applyAlignment="1" applyFont="1" applyNumberFormat="1">
      <alignment horizontal="right" shrinkToFit="1" vertical="center" wrapText="0"/>
    </xf>
    <xf borderId="0" fillId="6" fontId="8" numFmtId="0" xfId="0" applyAlignment="1" applyFont="1">
      <alignment horizontal="left" shrinkToFit="0" vertical="top" wrapText="1"/>
    </xf>
    <xf borderId="0" fillId="7" fontId="8" numFmtId="0" xfId="0" applyAlignment="1" applyFont="1">
      <alignment horizontal="left" shrinkToFit="0" vertical="center" wrapText="1"/>
    </xf>
    <xf borderId="0" fillId="6" fontId="8" numFmtId="0" xfId="0" applyAlignment="1" applyFont="1">
      <alignment horizontal="left" shrinkToFit="0" vertical="center" wrapText="1"/>
    </xf>
    <xf borderId="7" fillId="0" fontId="1" numFmtId="0" xfId="0" applyBorder="1" applyFont="1"/>
    <xf borderId="0" fillId="6" fontId="10" numFmtId="49" xfId="0" applyAlignment="1" applyFont="1" applyNumberFormat="1">
      <alignment horizontal="left" shrinkToFit="0" vertical="center" wrapText="1"/>
    </xf>
    <xf borderId="0" fillId="7" fontId="10" numFmtId="49" xfId="0" applyAlignment="1" applyFont="1" applyNumberFormat="1">
      <alignment horizontal="left" shrinkToFit="0" vertical="center" wrapText="1"/>
    </xf>
    <xf borderId="0" fillId="8" fontId="8" numFmtId="0" xfId="0" applyAlignment="1" applyFill="1" applyFont="1">
      <alignment shrinkToFit="0" vertical="top" wrapText="1"/>
    </xf>
    <xf borderId="0" fillId="7" fontId="9" numFmtId="49" xfId="0" applyAlignment="1" applyFont="1" applyNumberFormat="1">
      <alignment horizontal="left" shrinkToFit="1" vertical="top" wrapText="0"/>
    </xf>
    <xf borderId="0" fillId="7" fontId="9" numFmtId="1" xfId="0" applyAlignment="1" applyFont="1" applyNumberFormat="1">
      <alignment shrinkToFit="1" vertical="top" wrapText="0"/>
    </xf>
    <xf borderId="0" fillId="7" fontId="8" numFmtId="3" xfId="0" applyAlignment="1" applyFont="1" applyNumberFormat="1">
      <alignment horizontal="right" shrinkToFit="0" vertical="top" wrapText="1"/>
    </xf>
    <xf borderId="0" fillId="9" fontId="8" numFmtId="0" xfId="0" applyAlignment="1" applyFill="1" applyFont="1">
      <alignment shrinkToFit="0" vertical="top" wrapText="1"/>
    </xf>
    <xf borderId="0" fillId="0" fontId="11" numFmtId="0" xfId="0" applyAlignment="1" applyFont="1">
      <alignment horizontal="center"/>
    </xf>
    <xf borderId="0" fillId="0" fontId="9" numFmtId="0" xfId="0" applyFont="1"/>
    <xf borderId="0" fillId="0" fontId="12" numFmtId="0" xfId="0" applyAlignment="1" applyFont="1">
      <alignment horizontal="right"/>
    </xf>
    <xf borderId="10" fillId="0" fontId="9" numFmtId="0" xfId="0" applyAlignment="1" applyBorder="1" applyFont="1">
      <alignment horizontal="right"/>
    </xf>
    <xf borderId="0" fillId="0" fontId="9" numFmtId="0" xfId="0" applyAlignment="1" applyFont="1">
      <alignment horizontal="right"/>
    </xf>
    <xf borderId="0" fillId="0" fontId="12" numFmtId="0" xfId="0" applyAlignment="1" applyFont="1">
      <alignment horizontal="left"/>
    </xf>
    <xf borderId="0" fillId="0" fontId="12" numFmtId="0" xfId="0" applyFont="1"/>
    <xf borderId="10" fillId="0" fontId="9" numFmtId="0" xfId="0" applyBorder="1" applyFont="1"/>
    <xf borderId="0" fillId="0" fontId="12" numFmtId="166" xfId="0" applyAlignment="1" applyFont="1" applyNumberFormat="1">
      <alignment horizontal="left"/>
    </xf>
    <xf borderId="12" fillId="10" fontId="13" numFmtId="0" xfId="0" applyBorder="1" applyFill="1" applyFont="1"/>
    <xf borderId="13" fillId="10" fontId="13" numFmtId="0" xfId="0" applyBorder="1" applyFont="1"/>
    <xf borderId="13" fillId="10" fontId="13" numFmtId="0" xfId="0" applyAlignment="1" applyBorder="1" applyFont="1">
      <alignment horizontal="left"/>
    </xf>
    <xf borderId="14" fillId="0" fontId="6" numFmtId="0" xfId="0" applyBorder="1" applyFont="1"/>
    <xf borderId="13" fillId="10" fontId="13" numFmtId="0" xfId="0" applyAlignment="1" applyBorder="1" applyFont="1">
      <alignment horizontal="center"/>
    </xf>
    <xf borderId="12" fillId="10" fontId="13" numFmtId="0" xfId="0" applyAlignment="1" applyBorder="1" applyFont="1">
      <alignment horizontal="center"/>
    </xf>
    <xf borderId="12" fillId="10" fontId="13" numFmtId="0" xfId="0" applyAlignment="1" applyBorder="1" applyFont="1">
      <alignment horizontal="right"/>
    </xf>
    <xf borderId="0" fillId="0" fontId="13" numFmtId="0" xfId="0" applyFont="1"/>
    <xf borderId="0" fillId="0" fontId="13" numFmtId="0" xfId="0" applyAlignment="1" applyFont="1">
      <alignment horizontal="left"/>
    </xf>
    <xf borderId="0" fillId="0" fontId="13" numFmtId="0" xfId="0" applyAlignment="1" applyFont="1">
      <alignment horizontal="center"/>
    </xf>
    <xf borderId="0" fillId="0" fontId="13" numFmtId="0" xfId="0" applyAlignment="1" applyFont="1">
      <alignment horizontal="right"/>
    </xf>
    <xf borderId="15" fillId="0" fontId="8" numFmtId="0" xfId="0" applyBorder="1" applyFont="1"/>
    <xf borderId="0" fillId="0" fontId="14" numFmtId="0" xfId="0" applyAlignment="1" applyFont="1">
      <alignment horizontal="center" vertical="top"/>
    </xf>
    <xf borderId="0" fillId="11" fontId="8" numFmtId="0" xfId="0" applyAlignment="1" applyFill="1" applyFont="1">
      <alignment shrinkToFit="0" vertical="top" wrapText="1"/>
    </xf>
    <xf borderId="0" fillId="11" fontId="10" numFmtId="0" xfId="0" applyAlignment="1" applyFont="1">
      <alignment horizontal="left" shrinkToFit="0" vertical="top" wrapText="1"/>
    </xf>
    <xf borderId="0" fillId="11" fontId="9" numFmtId="3" xfId="0" applyAlignment="1" applyFont="1" applyNumberFormat="1">
      <alignment horizontal="right" shrinkToFit="1" vertical="center" wrapText="0"/>
    </xf>
    <xf borderId="0" fillId="7" fontId="9" numFmtId="0" xfId="0" applyAlignment="1" applyFont="1">
      <alignment horizontal="left" shrinkToFit="0" vertical="top" wrapText="1"/>
    </xf>
    <xf borderId="0" fillId="0" fontId="14" numFmtId="0" xfId="0" applyAlignment="1" applyFont="1">
      <alignment horizontal="left" shrinkToFit="0" vertical="top" wrapText="1"/>
    </xf>
    <xf borderId="0" fillId="0" fontId="14" numFmtId="0" xfId="0" applyAlignment="1" applyFont="1">
      <alignment vertical="top"/>
    </xf>
    <xf borderId="0" fillId="6" fontId="9" numFmtId="0" xfId="0" applyAlignment="1" applyFont="1">
      <alignment horizontal="left" shrinkToFit="0" vertical="top" wrapText="1"/>
    </xf>
    <xf borderId="0" fillId="0" fontId="14" numFmtId="3" xfId="0" applyAlignment="1" applyFont="1" applyNumberFormat="1">
      <alignment vertical="top"/>
    </xf>
    <xf borderId="0" fillId="0" fontId="15" numFmtId="0" xfId="0" applyFont="1"/>
    <xf borderId="0" fillId="2" fontId="10" numFmtId="0" xfId="0" applyAlignment="1" applyFont="1">
      <alignment horizontal="left" shrinkToFit="0" vertical="top" wrapText="1"/>
    </xf>
    <xf borderId="0" fillId="6" fontId="9" numFmtId="9" xfId="0" applyAlignment="1" applyFont="1" applyNumberFormat="1">
      <alignment horizontal="right" shrinkToFit="1" vertical="center" wrapText="0"/>
    </xf>
    <xf borderId="0" fillId="0" fontId="14" numFmtId="164" xfId="0" applyAlignment="1" applyFont="1" applyNumberFormat="1">
      <alignment horizontal="left" shrinkToFit="0" vertical="top" wrapText="1"/>
    </xf>
    <xf borderId="0" fillId="7" fontId="9" numFmtId="0" xfId="0" applyAlignment="1" applyFont="1">
      <alignment horizontal="left" shrinkToFit="0" vertical="center" wrapText="1"/>
    </xf>
    <xf borderId="0" fillId="6" fontId="9" numFmtId="0" xfId="0" applyAlignment="1" applyFont="1">
      <alignment horizontal="left" shrinkToFit="0" vertical="center" wrapText="1"/>
    </xf>
    <xf borderId="0" fillId="0" fontId="16" numFmtId="0" xfId="0" applyAlignment="1" applyFont="1">
      <alignment vertical="top"/>
    </xf>
    <xf borderId="0" fillId="10" fontId="9" numFmtId="0" xfId="0" applyFont="1"/>
    <xf borderId="0" fillId="0" fontId="9" numFmtId="0" xfId="0" applyAlignment="1" applyFont="1">
      <alignment shrinkToFit="0" vertical="top" wrapText="1"/>
    </xf>
    <xf borderId="16" fillId="10" fontId="17" numFmtId="167" xfId="0" applyAlignment="1" applyBorder="1" applyFont="1" applyNumberFormat="1">
      <alignment horizontal="center" vertical="center"/>
    </xf>
    <xf borderId="17" fillId="10" fontId="17" numFmtId="167" xfId="0" applyAlignment="1" applyBorder="1" applyFont="1" applyNumberFormat="1">
      <alignment horizontal="center" vertical="center"/>
    </xf>
    <xf borderId="0" fillId="0" fontId="12" numFmtId="0" xfId="0" applyAlignment="1" applyFont="1">
      <alignment horizontal="left" shrinkToFit="0" vertical="top" wrapText="1"/>
    </xf>
    <xf borderId="18" fillId="10" fontId="18" numFmtId="167" xfId="0" applyAlignment="1" applyBorder="1" applyFont="1" applyNumberFormat="1">
      <alignment horizontal="left" vertical="center"/>
    </xf>
    <xf borderId="0" fillId="7" fontId="9" numFmtId="0" xfId="0" applyFont="1"/>
    <xf borderId="0" fillId="10" fontId="19" numFmtId="167" xfId="0" applyAlignment="1" applyFont="1" applyNumberFormat="1">
      <alignment horizontal="right" vertical="center"/>
    </xf>
    <xf borderId="0" fillId="6" fontId="9" numFmtId="0" xfId="0" applyFont="1"/>
    <xf borderId="0" fillId="10" fontId="18" numFmtId="167" xfId="0" applyAlignment="1" applyFont="1" applyNumberFormat="1">
      <alignment horizontal="left" shrinkToFit="0" vertical="center" wrapText="0"/>
    </xf>
    <xf borderId="0" fillId="0" fontId="17" numFmtId="167" xfId="0" applyAlignment="1" applyFont="1" applyNumberFormat="1">
      <alignment horizontal="center" vertical="center"/>
    </xf>
    <xf borderId="0" fillId="7" fontId="9" numFmtId="49" xfId="0" applyAlignment="1" applyFont="1" applyNumberFormat="1">
      <alignment horizontal="left" shrinkToFit="0" vertical="center" wrapText="1"/>
    </xf>
    <xf borderId="0" fillId="6" fontId="9" numFmtId="0" xfId="0" applyAlignment="1" applyFont="1">
      <alignment horizontal="left"/>
    </xf>
    <xf borderId="0" fillId="10" fontId="17" numFmtId="167" xfId="0" applyAlignment="1" applyFont="1" applyNumberFormat="1">
      <alignment horizontal="center" vertical="center"/>
    </xf>
    <xf borderId="0" fillId="6" fontId="9" numFmtId="49" xfId="0" applyAlignment="1" applyFont="1" applyNumberFormat="1">
      <alignment horizontal="left" shrinkToFit="0" vertical="center" wrapText="1"/>
    </xf>
    <xf borderId="0" fillId="6" fontId="8" numFmtId="0" xfId="0" applyFont="1"/>
    <xf borderId="0" fillId="7" fontId="8" numFmtId="0" xfId="0" applyFont="1"/>
    <xf borderId="0" fillId="0" fontId="9" numFmtId="0" xfId="0" applyAlignment="1" applyFont="1">
      <alignment horizontal="center"/>
    </xf>
    <xf borderId="0" fillId="0" fontId="9" numFmtId="0" xfId="0" applyAlignment="1" applyFont="1">
      <alignment horizontal="left" vertical="top"/>
    </xf>
    <xf borderId="0" fillId="0" fontId="9" numFmtId="0" xfId="0" applyAlignment="1" applyFont="1">
      <alignment horizontal="right" vertical="top"/>
    </xf>
    <xf borderId="13" fillId="10" fontId="20" numFmtId="0" xfId="0" applyAlignment="1" applyBorder="1" applyFont="1">
      <alignment horizontal="center" vertical="center"/>
    </xf>
    <xf borderId="0" fillId="9" fontId="10" numFmtId="0" xfId="0" applyAlignment="1" applyFont="1">
      <alignment horizontal="left" shrinkToFit="0" vertical="top" wrapText="1"/>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76923C"/>
          <bgColor rgb="FF76923C"/>
        </patternFill>
      </fill>
      <border/>
    </dxf>
    <dxf>
      <font>
        <color rgb="FFFFFFFF"/>
      </font>
      <fill>
        <patternFill patternType="solid">
          <fgColor rgb="FFB7E1CD"/>
          <bgColor rgb="FFB7E1CD"/>
        </patternFill>
      </fill>
      <border/>
    </dxf>
    <dxf>
      <font>
        <color rgb="FF666666"/>
      </font>
      <fill>
        <patternFill patternType="none"/>
      </fill>
      <border/>
    </dxf>
    <dxf>
      <font>
        <color rgb="FF999999"/>
      </font>
      <fill>
        <patternFill patternType="solid">
          <fgColor rgb="FFFFFFFF"/>
          <bgColor rgb="FFFFFFFF"/>
        </patternFill>
      </fill>
      <border/>
    </dxf>
    <dxf>
      <font/>
      <fill>
        <patternFill patternType="solid">
          <fgColor rgb="FFB7E1CD"/>
          <bgColor rgb="FFB7E1CD"/>
        </patternFill>
      </fill>
      <border/>
    </dxf>
  </dxfs>
  <tableStyles count="2">
    <tableStyle count="2" pivot="0" name="Carga-style">
      <tableStyleElement dxfId="1" type="firstRowStripe"/>
      <tableStyleElement dxfId="2" type="secondRowStripe"/>
    </tableStyle>
    <tableStyle count="2" pivot="0" name="Copia_de_Carga-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104775</xdr:colOff>
      <xdr:row>0</xdr:row>
      <xdr:rowOff>0</xdr:rowOff>
    </xdr:from>
    <xdr:ext cx="2200275" cy="10858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104775</xdr:colOff>
      <xdr:row>0</xdr:row>
      <xdr:rowOff>0</xdr:rowOff>
    </xdr:from>
    <xdr:ext cx="2200275" cy="10858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8:F30" displayName="Table_1" name="Table_1" id="1">
  <tableColumns count="6">
    <tableColumn name="Column1" id="1"/>
    <tableColumn name="Column2" id="2"/>
    <tableColumn name="Column3" id="3"/>
    <tableColumn name="Column4" id="4"/>
    <tableColumn name="Column5" id="5"/>
    <tableColumn name="Column6" id="6"/>
  </tableColumns>
  <tableStyleInfo name="Carga-style" showColumnStripes="0" showFirstColumn="1" showLastColumn="1" showRowStripes="1"/>
</table>
</file>

<file path=xl/tables/table2.xml><?xml version="1.0" encoding="utf-8"?>
<table xmlns="http://schemas.openxmlformats.org/spreadsheetml/2006/main" headerRowCount="0" ref="A8:F30" displayName="Table_2" name="Table_2" id="2">
  <tableColumns count="6">
    <tableColumn name="Column1" id="1"/>
    <tableColumn name="Column2" id="2"/>
    <tableColumn name="Column3" id="3"/>
    <tableColumn name="Column4" id="4"/>
    <tableColumn name="Column5" id="5"/>
    <tableColumn name="Column6" id="6"/>
  </tableColumns>
  <tableStyleInfo name="Copia_de_Carg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aps.app.goo.gl/xuNo6YtDjecjWtoJ7"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4.38"/>
    <col customWidth="1" min="3" max="3" width="8.0"/>
    <col customWidth="1" min="4" max="4" width="20.5"/>
    <col customWidth="1" min="5" max="5" width="44.38"/>
    <col customWidth="1" min="6" max="6" width="14.38"/>
  </cols>
  <sheetData>
    <row r="1">
      <c r="A1" s="1" t="str">
        <f>Presupuesto!A15</f>
        <v/>
      </c>
      <c r="B1" s="1" t="str">
        <f>IFERROR(VLOOKUP(Carga!B8,Precios!D:F,8,0), "")</f>
        <v/>
      </c>
      <c r="C1" s="5" t="s">
        <v>11</v>
      </c>
      <c r="D1" s="9" t="str">
        <f>CONCATENATE(" ",C1," ",A1,"  ",B1)</f>
        <v> /   </v>
      </c>
    </row>
    <row r="2">
      <c r="A2" s="1" t="str">
        <f>Presupuesto!A16</f>
        <v/>
      </c>
      <c r="B2" s="1" t="str">
        <f>IFERROR(VLOOKUP(Carga!B9,Precios!D:F,8,0), "")</f>
        <v/>
      </c>
      <c r="C2" s="5" t="s">
        <v>11</v>
      </c>
      <c r="D2" s="1" t="str">
        <f t="shared" ref="D2:D23" si="1">CONCATENATE(" / ",A2,"  ",B2)</f>
        <v> /   </v>
      </c>
    </row>
    <row r="3">
      <c r="A3" s="1" t="str">
        <f>Presupuesto!A17</f>
        <v/>
      </c>
      <c r="B3" s="1" t="str">
        <f>IFERROR(VLOOKUP(Carga!B10,Precios!D:F,8,0), "")</f>
        <v/>
      </c>
      <c r="C3" s="5" t="s">
        <v>11</v>
      </c>
      <c r="D3" s="1" t="str">
        <f t="shared" si="1"/>
        <v> /   </v>
      </c>
    </row>
    <row r="4">
      <c r="A4" s="1" t="str">
        <f>Presupuesto!A18</f>
        <v/>
      </c>
      <c r="B4" s="1" t="str">
        <f>IFERROR(VLOOKUP(Carga!B11,Precios!D:F,8,0), "")</f>
        <v/>
      </c>
      <c r="C4" s="5" t="s">
        <v>11</v>
      </c>
      <c r="D4" s="1" t="str">
        <f t="shared" si="1"/>
        <v> /   </v>
      </c>
    </row>
    <row r="5">
      <c r="A5" s="1" t="str">
        <f>Presupuesto!A19</f>
        <v/>
      </c>
      <c r="B5" s="1" t="str">
        <f>IFERROR(VLOOKUP(Carga!B12,Precios!D:F,8,0), "")</f>
        <v/>
      </c>
      <c r="C5" s="5" t="s">
        <v>11</v>
      </c>
      <c r="D5" s="1" t="str">
        <f t="shared" si="1"/>
        <v> /   </v>
      </c>
    </row>
    <row r="6">
      <c r="A6" s="1" t="str">
        <f>Presupuesto!A20</f>
        <v/>
      </c>
      <c r="B6" s="1" t="str">
        <f>IFERROR(VLOOKUP(Carga!B13,Precios!D:F,8,0), "")</f>
        <v/>
      </c>
      <c r="C6" s="5" t="s">
        <v>11</v>
      </c>
      <c r="D6" s="1" t="str">
        <f t="shared" si="1"/>
        <v> /   </v>
      </c>
    </row>
    <row r="7">
      <c r="A7" s="1" t="str">
        <f>Presupuesto!A21</f>
        <v/>
      </c>
      <c r="B7" s="1" t="str">
        <f>IFERROR(VLOOKUP(Carga!B14,Precios!D:F,8,0), "")</f>
        <v/>
      </c>
      <c r="C7" s="5" t="s">
        <v>11</v>
      </c>
      <c r="D7" s="1" t="str">
        <f t="shared" si="1"/>
        <v> /   </v>
      </c>
    </row>
    <row r="8">
      <c r="A8" s="1" t="str">
        <f>Presupuesto!A22</f>
        <v/>
      </c>
      <c r="B8" s="1" t="str">
        <f>IFERROR(VLOOKUP(Carga!B15,Precios!D:F,8,0), "")</f>
        <v/>
      </c>
      <c r="C8" s="5" t="s">
        <v>11</v>
      </c>
      <c r="D8" s="1" t="str">
        <f t="shared" si="1"/>
        <v> /   </v>
      </c>
    </row>
    <row r="9">
      <c r="A9" s="1" t="str">
        <f>Presupuesto!A23</f>
        <v/>
      </c>
      <c r="B9" s="1" t="str">
        <f>IFERROR(VLOOKUP(Carga!B16,Precios!D:F,8,0), "")</f>
        <v/>
      </c>
      <c r="C9" s="5" t="s">
        <v>11</v>
      </c>
      <c r="D9" s="1" t="str">
        <f t="shared" si="1"/>
        <v> /   </v>
      </c>
    </row>
    <row r="10">
      <c r="A10" s="1" t="str">
        <f>Presupuesto!A24</f>
        <v/>
      </c>
      <c r="B10" s="1" t="str">
        <f>IFERROR(VLOOKUP(Carga!B17,Precios!D:F,8,0), "")</f>
        <v/>
      </c>
      <c r="C10" s="5" t="s">
        <v>11</v>
      </c>
      <c r="D10" s="1" t="str">
        <f t="shared" si="1"/>
        <v> /   </v>
      </c>
    </row>
    <row r="11">
      <c r="A11" s="1" t="str">
        <f>Presupuesto!A25</f>
        <v/>
      </c>
      <c r="B11" s="1" t="str">
        <f>IFERROR(VLOOKUP(Carga!B18,Precios!D:F,8,0), "")</f>
        <v/>
      </c>
      <c r="C11" s="5" t="s">
        <v>11</v>
      </c>
      <c r="D11" s="1" t="str">
        <f t="shared" si="1"/>
        <v> /   </v>
      </c>
    </row>
    <row r="12">
      <c r="A12" s="1" t="str">
        <f>Presupuesto!A26</f>
        <v/>
      </c>
      <c r="B12" s="1" t="str">
        <f>IFERROR(VLOOKUP(Carga!B19,Precios!D:F,8,0), "")</f>
        <v/>
      </c>
      <c r="C12" s="5" t="s">
        <v>11</v>
      </c>
      <c r="D12" s="1" t="str">
        <f t="shared" si="1"/>
        <v> /   </v>
      </c>
    </row>
    <row r="13">
      <c r="A13" s="1" t="str">
        <f>Presupuesto!A27</f>
        <v/>
      </c>
      <c r="B13" s="1" t="str">
        <f>IFERROR(VLOOKUP(Carga!B20,Precios!D:F,8,0), "")</f>
        <v/>
      </c>
      <c r="C13" s="5" t="s">
        <v>11</v>
      </c>
      <c r="D13" s="1" t="str">
        <f t="shared" si="1"/>
        <v> /   </v>
      </c>
    </row>
    <row r="14">
      <c r="A14" s="1" t="str">
        <f>Presupuesto!A28</f>
        <v/>
      </c>
      <c r="B14" s="1" t="str">
        <f>IFERROR(VLOOKUP(Carga!B21,Precios!D:F,8,0), "")</f>
        <v/>
      </c>
      <c r="C14" s="5" t="s">
        <v>11</v>
      </c>
      <c r="D14" s="1" t="str">
        <f t="shared" si="1"/>
        <v> /   </v>
      </c>
    </row>
    <row r="15">
      <c r="A15" s="1" t="str">
        <f>Presupuesto!A29</f>
        <v/>
      </c>
      <c r="B15" s="1" t="str">
        <f>IFERROR(VLOOKUP(Carga!B22,Precios!D:F,8,0), "")</f>
        <v/>
      </c>
      <c r="C15" s="5" t="s">
        <v>11</v>
      </c>
      <c r="D15" s="1" t="str">
        <f t="shared" si="1"/>
        <v> /   </v>
      </c>
    </row>
    <row r="16">
      <c r="A16" s="1" t="str">
        <f>Presupuesto!A30</f>
        <v/>
      </c>
      <c r="B16" s="1" t="str">
        <f>IFERROR(VLOOKUP(Carga!B23,Precios!D:F,8,0), "")</f>
        <v/>
      </c>
      <c r="C16" s="5" t="s">
        <v>11</v>
      </c>
      <c r="D16" s="1" t="str">
        <f t="shared" si="1"/>
        <v> /   </v>
      </c>
    </row>
    <row r="17">
      <c r="A17" s="1" t="str">
        <f>Presupuesto!A31</f>
        <v/>
      </c>
      <c r="B17" s="1" t="str">
        <f>IFERROR(VLOOKUP(Carga!B24,Precios!D:F,8,0), "")</f>
        <v/>
      </c>
      <c r="C17" s="5" t="s">
        <v>11</v>
      </c>
      <c r="D17" s="1" t="str">
        <f t="shared" si="1"/>
        <v> /   </v>
      </c>
    </row>
    <row r="18">
      <c r="A18" s="1" t="str">
        <f>Presupuesto!A32</f>
        <v/>
      </c>
      <c r="B18" s="1" t="str">
        <f>IFERROR(VLOOKUP(Carga!B25,Precios!D:F,8,0), "")</f>
        <v/>
      </c>
      <c r="C18" s="5" t="s">
        <v>11</v>
      </c>
      <c r="D18" s="1" t="str">
        <f t="shared" si="1"/>
        <v> /   </v>
      </c>
    </row>
    <row r="19">
      <c r="A19" s="1" t="str">
        <f>Presupuesto!A33</f>
        <v/>
      </c>
      <c r="B19" s="1" t="str">
        <f>IFERROR(VLOOKUP(Carga!B26,Precios!D:F,8,0), "")</f>
        <v/>
      </c>
      <c r="C19" s="5" t="s">
        <v>11</v>
      </c>
      <c r="D19" s="1" t="str">
        <f t="shared" si="1"/>
        <v> /   </v>
      </c>
    </row>
    <row r="20">
      <c r="A20" s="1" t="str">
        <f>Presupuesto!A34</f>
        <v/>
      </c>
      <c r="B20" s="1" t="str">
        <f>IFERROR(VLOOKUP(Carga!B27,Precios!D:F,8,0), "")</f>
        <v/>
      </c>
      <c r="C20" s="5" t="s">
        <v>11</v>
      </c>
      <c r="D20" s="1" t="str">
        <f t="shared" si="1"/>
        <v> /   </v>
      </c>
    </row>
    <row r="21" ht="15.75" customHeight="1">
      <c r="A21" s="1" t="str">
        <f>Presupuesto!A35</f>
        <v/>
      </c>
      <c r="B21" s="1" t="str">
        <f>IFERROR(VLOOKUP(Carga!B28,Precios!D:F,8,0), "")</f>
        <v/>
      </c>
      <c r="C21" s="5" t="s">
        <v>11</v>
      </c>
      <c r="D21" s="1" t="str">
        <f t="shared" si="1"/>
        <v> /   </v>
      </c>
    </row>
    <row r="22" ht="15.75" customHeight="1">
      <c r="A22" s="1" t="str">
        <f>Presupuesto!A36</f>
        <v/>
      </c>
      <c r="B22" s="1" t="str">
        <f>IFERROR(VLOOKUP(Carga!B29,Precios!D:F,8,0), "")</f>
        <v/>
      </c>
      <c r="C22" s="5" t="s">
        <v>11</v>
      </c>
      <c r="D22" s="1" t="str">
        <f t="shared" si="1"/>
        <v> /   </v>
      </c>
    </row>
    <row r="23" ht="15.75" customHeight="1">
      <c r="A23" s="1" t="str">
        <f>Presupuesto!A37</f>
        <v/>
      </c>
      <c r="B23" s="1" t="str">
        <f>IFERROR(VLOOKUP(Carga!B30,Precios!D:F,8,0), "")</f>
        <v/>
      </c>
      <c r="C23" s="5" t="s">
        <v>11</v>
      </c>
      <c r="D23" s="1" t="str">
        <f t="shared" si="1"/>
        <v> /   </v>
      </c>
    </row>
    <row r="24" ht="117.0" customHeight="1">
      <c r="E24" s="29" t="str">
        <f>CONCATENATE(D1:D23)</f>
        <v> /    /    /    /    /    /    /    /    /    /    /    /    /    /    /    /    /    /    /    /    /    /    /   </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c r="A1" s="1" t="s">
        <v>0</v>
      </c>
      <c r="B1" s="1" t="s">
        <v>1</v>
      </c>
      <c r="C1" s="1" t="s">
        <v>2</v>
      </c>
      <c r="D1" s="1" t="s">
        <v>3</v>
      </c>
      <c r="E1" s="1" t="s">
        <v>4</v>
      </c>
      <c r="F1" s="1" t="s">
        <v>5</v>
      </c>
    </row>
    <row r="2">
      <c r="A2" s="2">
        <v>46072.0</v>
      </c>
      <c r="B2" s="1" t="s">
        <v>6</v>
      </c>
      <c r="C2" s="1">
        <v>3.513559347E9</v>
      </c>
      <c r="D2" s="1" t="s">
        <v>7</v>
      </c>
      <c r="E2" s="3"/>
      <c r="F2" s="1"/>
    </row>
    <row r="3">
      <c r="A3" s="1" t="s">
        <v>8</v>
      </c>
      <c r="B3" s="1">
        <v>1.0</v>
      </c>
      <c r="C3" s="1">
        <v>43400.0</v>
      </c>
      <c r="D3" s="1">
        <v>43400.0</v>
      </c>
      <c r="E3" s="1"/>
      <c r="F3" s="1" t="s">
        <v>9</v>
      </c>
    </row>
    <row r="4">
      <c r="A4" s="1" t="s">
        <v>8</v>
      </c>
      <c r="B4" s="1">
        <v>1.0</v>
      </c>
      <c r="C4" s="1">
        <v>43400.0</v>
      </c>
      <c r="D4" s="1">
        <v>43400.0</v>
      </c>
      <c r="E4" s="3"/>
      <c r="F4" s="1">
        <v>292800.0</v>
      </c>
    </row>
    <row r="5">
      <c r="A5" s="1" t="s">
        <v>8</v>
      </c>
      <c r="B5" s="1">
        <v>1.0</v>
      </c>
      <c r="C5" s="1">
        <v>43400.0</v>
      </c>
      <c r="D5" s="1">
        <v>43400.0</v>
      </c>
      <c r="E5" s="3"/>
      <c r="F5" s="1">
        <v>292800.0</v>
      </c>
    </row>
    <row r="6">
      <c r="A6" s="1" t="s">
        <v>8</v>
      </c>
      <c r="B6" s="1">
        <v>1.0</v>
      </c>
      <c r="C6" s="1">
        <v>43400.0</v>
      </c>
      <c r="D6" s="1">
        <v>43400.0</v>
      </c>
      <c r="E6" s="3"/>
      <c r="F6" s="1">
        <v>292800.0</v>
      </c>
    </row>
    <row r="7">
      <c r="A7" s="1" t="s">
        <v>8</v>
      </c>
      <c r="B7" s="1">
        <v>1.0</v>
      </c>
      <c r="C7" s="1">
        <v>43400.0</v>
      </c>
      <c r="D7" s="1">
        <v>43400.0</v>
      </c>
      <c r="E7" s="3"/>
      <c r="F7" s="1">
        <v>-180000.0</v>
      </c>
    </row>
    <row r="8">
      <c r="A8" s="1" t="s">
        <v>8</v>
      </c>
      <c r="B8" s="1">
        <v>1.0</v>
      </c>
      <c r="C8" s="1">
        <v>43400.0</v>
      </c>
      <c r="D8" s="8">
        <v>2.387E16</v>
      </c>
      <c r="E8" s="3"/>
      <c r="F8" s="1">
        <v>-180000.0</v>
      </c>
    </row>
    <row r="9">
      <c r="A9" s="1" t="s">
        <v>13</v>
      </c>
      <c r="B9" s="1">
        <v>-2.0</v>
      </c>
      <c r="C9" s="1"/>
      <c r="D9" s="1">
        <v>180000.0</v>
      </c>
      <c r="E9" s="3">
        <v>0.0</v>
      </c>
      <c r="F9" s="1">
        <v>-360000.0</v>
      </c>
    </row>
    <row r="10">
      <c r="A10" s="1" t="s">
        <v>13</v>
      </c>
      <c r="B10" s="1">
        <v>-2.0</v>
      </c>
      <c r="C10" s="1"/>
      <c r="D10" s="1">
        <v>180000.0</v>
      </c>
      <c r="E10" s="3">
        <v>0.0</v>
      </c>
      <c r="F10" s="1">
        <v>-360000.0</v>
      </c>
    </row>
    <row r="11">
      <c r="A11" s="1" t="s">
        <v>13</v>
      </c>
      <c r="B11" s="1">
        <v>-2.0</v>
      </c>
      <c r="C11" s="1"/>
      <c r="D11" s="1">
        <v>180000.0</v>
      </c>
      <c r="E11" s="3">
        <v>0.0</v>
      </c>
      <c r="F11" s="1">
        <v>-360000.0</v>
      </c>
    </row>
    <row r="12">
      <c r="A12" s="1" t="s">
        <v>13</v>
      </c>
      <c r="B12" s="1">
        <v>-2.0</v>
      </c>
      <c r="C12" s="1"/>
      <c r="D12" s="1">
        <v>180000.0</v>
      </c>
      <c r="E12" s="3">
        <v>0.0</v>
      </c>
      <c r="F12" s="1">
        <v>-360000.0</v>
      </c>
    </row>
    <row r="13">
      <c r="A13" s="1" t="s">
        <v>13</v>
      </c>
      <c r="B13" s="1">
        <v>-2.0</v>
      </c>
      <c r="C13" s="1"/>
      <c r="D13" s="1">
        <v>180000.0</v>
      </c>
      <c r="E13" s="3">
        <v>0.0</v>
      </c>
      <c r="F13" s="1">
        <v>-360000.0</v>
      </c>
    </row>
    <row r="14">
      <c r="A14" s="1" t="s">
        <v>13</v>
      </c>
      <c r="B14" s="1">
        <v>-2.0</v>
      </c>
      <c r="C14" s="1"/>
      <c r="D14" s="1">
        <v>180000.0</v>
      </c>
      <c r="E14" s="3">
        <v>0.0</v>
      </c>
      <c r="F14" s="1">
        <v>-360000.0</v>
      </c>
    </row>
    <row r="15">
      <c r="A15" s="1" t="s">
        <v>13</v>
      </c>
      <c r="B15" s="1">
        <v>-2.0</v>
      </c>
      <c r="C15" s="1"/>
      <c r="D15" s="1">
        <v>180000.0</v>
      </c>
      <c r="E15" s="3">
        <v>0.0</v>
      </c>
      <c r="F15" s="1">
        <v>-360000.0</v>
      </c>
    </row>
    <row r="16">
      <c r="A16" s="1" t="s">
        <v>13</v>
      </c>
      <c r="B16" s="1">
        <v>-2.0</v>
      </c>
      <c r="C16" s="1"/>
      <c r="D16" s="1">
        <v>180000.0</v>
      </c>
      <c r="E16" s="3">
        <v>0.0</v>
      </c>
      <c r="F16" s="1">
        <v>-360000.0</v>
      </c>
    </row>
    <row r="17">
      <c r="A17" s="1" t="s">
        <v>13</v>
      </c>
      <c r="B17" s="1">
        <v>-2.0</v>
      </c>
      <c r="C17" s="1"/>
      <c r="D17" s="1">
        <v>180000.0</v>
      </c>
      <c r="E17" s="3">
        <v>0.0</v>
      </c>
      <c r="F17" s="1">
        <v>-360000.0</v>
      </c>
    </row>
    <row r="18">
      <c r="A18" s="1" t="s">
        <v>13</v>
      </c>
      <c r="B18" s="1">
        <v>-2.0</v>
      </c>
      <c r="D18" s="1">
        <v>180000.0</v>
      </c>
      <c r="E18" s="3">
        <v>0.0</v>
      </c>
      <c r="F18" s="1">
        <v>-360000.0</v>
      </c>
    </row>
    <row r="19">
      <c r="A19" s="1" t="s">
        <v>13</v>
      </c>
      <c r="B19" s="1">
        <v>-2.0</v>
      </c>
      <c r="D19" s="1">
        <v>180000.0</v>
      </c>
      <c r="E19" s="3">
        <v>0.0</v>
      </c>
      <c r="F19" s="1">
        <v>-360000.0</v>
      </c>
    </row>
    <row r="20">
      <c r="A20" s="1" t="s">
        <v>13</v>
      </c>
      <c r="B20" s="1">
        <v>-2.0</v>
      </c>
      <c r="D20" s="1">
        <v>180000.0</v>
      </c>
      <c r="E20" s="3">
        <v>0.0</v>
      </c>
      <c r="F20" s="1">
        <v>-360000.0</v>
      </c>
    </row>
    <row r="21" ht="15.75" customHeight="1">
      <c r="A21" s="1" t="s">
        <v>13</v>
      </c>
      <c r="B21" s="1">
        <v>-2.0</v>
      </c>
      <c r="D21" s="1">
        <v>180000.0</v>
      </c>
      <c r="E21" s="3">
        <v>0.0</v>
      </c>
      <c r="F21" s="1">
        <v>-360000.0</v>
      </c>
    </row>
    <row r="22" ht="15.75" customHeight="1">
      <c r="A22" s="1" t="s">
        <v>13</v>
      </c>
      <c r="B22" s="1">
        <v>-2.0</v>
      </c>
      <c r="C22" s="1"/>
      <c r="D22" s="1">
        <v>180000.0</v>
      </c>
      <c r="E22" s="3">
        <v>0.0</v>
      </c>
      <c r="F22" s="1">
        <v>-360000.0</v>
      </c>
    </row>
    <row r="23" ht="15.75" customHeight="1">
      <c r="A23" s="1" t="s">
        <v>13</v>
      </c>
      <c r="B23" s="1">
        <v>-2.0</v>
      </c>
      <c r="C23" s="1"/>
      <c r="D23" s="1">
        <v>180000.0</v>
      </c>
      <c r="E23" s="3">
        <v>0.0</v>
      </c>
      <c r="F23" s="1">
        <v>-360000.0</v>
      </c>
    </row>
    <row r="24" ht="15.75" customHeight="1">
      <c r="A24" s="1" t="s">
        <v>13</v>
      </c>
      <c r="B24" s="1">
        <v>-2.0</v>
      </c>
      <c r="C24" s="1"/>
      <c r="D24" s="1">
        <v>180000.0</v>
      </c>
      <c r="E24" s="3">
        <v>0.0</v>
      </c>
      <c r="F24" s="1">
        <v>-360000.0</v>
      </c>
    </row>
    <row r="25" ht="15.75" customHeight="1">
      <c r="A25" s="1" t="s">
        <v>13</v>
      </c>
      <c r="B25" s="1">
        <v>-2.0</v>
      </c>
      <c r="C25" s="1"/>
      <c r="D25" s="1">
        <v>180000.0</v>
      </c>
      <c r="E25" s="3">
        <v>0.0</v>
      </c>
      <c r="F25" s="1">
        <v>-360000.0</v>
      </c>
    </row>
    <row r="26" ht="15.75" customHeight="1">
      <c r="A26" s="1" t="s">
        <v>13</v>
      </c>
      <c r="B26" s="1">
        <v>-2.0</v>
      </c>
      <c r="C26" s="1"/>
      <c r="D26" s="1">
        <v>180000.0</v>
      </c>
      <c r="E26" s="3">
        <v>0.0</v>
      </c>
      <c r="F26" s="1">
        <v>-360000.0</v>
      </c>
    </row>
    <row r="27" ht="15.75" customHeight="1">
      <c r="A27" s="1" t="s">
        <v>13</v>
      </c>
      <c r="B27" s="1">
        <v>-2.0</v>
      </c>
      <c r="C27" s="1"/>
      <c r="D27" s="1">
        <v>180000.0</v>
      </c>
      <c r="E27" s="3">
        <v>0.0</v>
      </c>
      <c r="F27" s="1">
        <v>-360000.0</v>
      </c>
    </row>
    <row r="28" ht="15.75" customHeight="1">
      <c r="A28" s="1" t="s">
        <v>13</v>
      </c>
      <c r="B28" s="1">
        <v>-2.0</v>
      </c>
      <c r="D28" s="1">
        <v>180000.0</v>
      </c>
      <c r="E28" s="3">
        <v>0.0</v>
      </c>
      <c r="F28" s="1">
        <v>-360000.0</v>
      </c>
    </row>
    <row r="29" ht="15.75" customHeight="1">
      <c r="A29" s="1" t="s">
        <v>13</v>
      </c>
      <c r="B29" s="1">
        <v>-2.0</v>
      </c>
      <c r="D29" s="1">
        <v>180000.0</v>
      </c>
      <c r="E29" s="3">
        <v>0.0</v>
      </c>
      <c r="F29" s="1">
        <v>-360000.0</v>
      </c>
    </row>
    <row r="30" ht="15.75" customHeight="1">
      <c r="A30" s="1" t="s">
        <v>13</v>
      </c>
      <c r="B30" s="1">
        <v>-2.0</v>
      </c>
      <c r="D30" s="1">
        <v>180000.0</v>
      </c>
      <c r="E30" s="3">
        <v>0.0</v>
      </c>
      <c r="F30" s="1">
        <v>-360000.0</v>
      </c>
    </row>
    <row r="31" ht="15.75" customHeight="1">
      <c r="A31" s="1" t="s">
        <v>13</v>
      </c>
      <c r="B31" s="1">
        <v>-2.0</v>
      </c>
      <c r="D31" s="1">
        <v>180000.0</v>
      </c>
      <c r="E31" s="3">
        <v>0.0</v>
      </c>
      <c r="F31" s="1">
        <v>-360000.0</v>
      </c>
    </row>
    <row r="32" ht="15.75" customHeight="1">
      <c r="A32" s="1" t="s">
        <v>13</v>
      </c>
      <c r="B32" s="1">
        <v>-2.0</v>
      </c>
      <c r="C32" s="1"/>
      <c r="D32" s="1">
        <v>180000.0</v>
      </c>
      <c r="E32" s="3">
        <v>0.0</v>
      </c>
      <c r="F32" s="1">
        <v>-360000.0</v>
      </c>
    </row>
    <row r="33" ht="15.75" customHeight="1">
      <c r="A33" s="1" t="s">
        <v>13</v>
      </c>
      <c r="B33" s="1">
        <v>-2.0</v>
      </c>
      <c r="D33" s="1">
        <v>180000.0</v>
      </c>
      <c r="E33" s="3">
        <v>0.0</v>
      </c>
      <c r="F33" s="1">
        <v>-360000.0</v>
      </c>
    </row>
    <row r="34" ht="15.75" customHeight="1">
      <c r="A34" s="1" t="s">
        <v>13</v>
      </c>
      <c r="B34" s="1">
        <v>-2.0</v>
      </c>
      <c r="D34" s="1">
        <v>180000.0</v>
      </c>
      <c r="E34" s="3">
        <v>0.0</v>
      </c>
      <c r="F34" s="1">
        <v>-360000.0</v>
      </c>
    </row>
    <row r="35" ht="15.75" customHeight="1">
      <c r="A35" s="1" t="s">
        <v>13</v>
      </c>
      <c r="B35" s="1">
        <v>-2.0</v>
      </c>
      <c r="D35" s="1">
        <v>180000.0</v>
      </c>
      <c r="E35" s="3">
        <v>0.0</v>
      </c>
      <c r="F35" s="1">
        <v>-360000.0</v>
      </c>
    </row>
    <row r="36" ht="15.75" customHeight="1">
      <c r="A36" s="1" t="s">
        <v>13</v>
      </c>
      <c r="B36" s="1">
        <v>-2.0</v>
      </c>
      <c r="C36" s="1"/>
      <c r="D36" s="1">
        <v>180000.0</v>
      </c>
      <c r="E36" s="3">
        <v>0.0</v>
      </c>
      <c r="F36" s="1">
        <v>-360000.0</v>
      </c>
    </row>
    <row r="37" ht="15.75" customHeight="1">
      <c r="A37" s="1" t="s">
        <v>13</v>
      </c>
      <c r="B37" s="1">
        <v>-2.0</v>
      </c>
      <c r="C37" s="1" t="s">
        <v>28</v>
      </c>
      <c r="D37" s="1">
        <v>180000.0</v>
      </c>
      <c r="E37" s="3">
        <v>0.0</v>
      </c>
      <c r="F37" s="1">
        <v>-360000.0</v>
      </c>
    </row>
    <row r="38" ht="15.75" customHeight="1"/>
    <row r="39" ht="15.75" customHeight="1"/>
    <row r="40" ht="15.75" customHeight="1"/>
    <row r="41" ht="15.75" customHeight="1">
      <c r="E41" s="3"/>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c r="A1" s="1" t="str">
        <f>IFERROR(__xludf.DUMMYFUNCTION("IMPORTRANGE(""https://docs.google.com/spreadsheets/d/1aPynYCYBaEafPC4rqTulMOzPg_guy_NLzZHOzvFJwyw/edit?usp=drivesdk"", ""Respuestas de formulario 1!A1:H150"")"),"Marca temporal")</f>
        <v>Marca temporal</v>
      </c>
      <c r="B1" s="1" t="str">
        <f>IFERROR(__xludf.DUMMYFUNCTION("""COMPUTED_VALUE"""),"Apellido y Nombre")</f>
        <v>Apellido y Nombre</v>
      </c>
      <c r="C1" s="1" t="str">
        <f>IFERROR(__xludf.DUMMYFUNCTION("""COMPUTED_VALUE"""),"Teléfono")</f>
        <v>Teléfono</v>
      </c>
      <c r="D1" s="1" t="str">
        <f>IFERROR(__xludf.DUMMYFUNCTION("""COMPUTED_VALUE"""),"Dirección")</f>
        <v>Dirección</v>
      </c>
      <c r="E1" s="1" t="str">
        <f>IFERROR(__xludf.DUMMYFUNCTION("""COMPUTED_VALUE"""),"Observaciones ")</f>
        <v>Observaciones </v>
      </c>
    </row>
    <row r="2">
      <c r="A2" s="4">
        <f>IFERROR(__xludf.DUMMYFUNCTION("""COMPUTED_VALUE"""),46065.8989693287)</f>
        <v>46065.89897</v>
      </c>
      <c r="B2" s="1" t="str">
        <f>IFERROR(__xludf.DUMMYFUNCTION("""COMPUTED_VALUE"""),"Villagrono Alfredus")</f>
        <v>Villagrono Alfredus</v>
      </c>
      <c r="C2" s="1">
        <f>IFERROR(__xludf.DUMMYFUNCTION("""COMPUTED_VALUE"""),3.513559347E9)</f>
        <v>3513559347</v>
      </c>
      <c r="D2" s="1" t="str">
        <f>IFERROR(__xludf.DUMMYFUNCTION("""COMPUTED_VALUE"""),"Enrique banchs 3281 los alamos")</f>
        <v>Enrique banchs 3281 los alamos</v>
      </c>
      <c r="E2" s="1" t="str">
        <f>IFERROR(__xludf.DUMMYFUNCTION("""COMPUTED_VALUE"""),"Alfredus Alfredus")</f>
        <v>Alfredus Alfredus</v>
      </c>
    </row>
    <row r="3">
      <c r="A3" s="4">
        <f>IFERROR(__xludf.DUMMYFUNCTION("""COMPUTED_VALUE"""),46065.90200585648)</f>
        <v>46065.90201</v>
      </c>
      <c r="B3" s="1" t="str">
        <f>IFERROR(__xludf.DUMMYFUNCTION("""COMPUTED_VALUE"""),"Federico Matisaleno")</f>
        <v>Federico Matisaleno</v>
      </c>
      <c r="C3" s="1">
        <f>IFERROR(__xludf.DUMMYFUNCTION("""COMPUTED_VALUE"""),3.518469723E9)</f>
        <v>3518469723</v>
      </c>
      <c r="D3" s="1" t="str">
        <f>IFERROR(__xludf.DUMMYFUNCTION("""COMPUTED_VALUE"""),"Domingo Zipoli 542 Cordoba ")</f>
        <v>Domingo Zipoli 542 Cordoba </v>
      </c>
      <c r="E3" s="1"/>
    </row>
    <row r="4">
      <c r="A4" s="4">
        <f>IFERROR(__xludf.DUMMYFUNCTION("""COMPUTED_VALUE"""),46065.914829490735)</f>
        <v>46065.91483</v>
      </c>
      <c r="B4" s="1" t="str">
        <f>IFERROR(__xludf.DUMMYFUNCTION("""COMPUTED_VALUE"""),"Lucianote Pabarotiitii")</f>
        <v>Lucianote Pabarotiitii</v>
      </c>
      <c r="C4" s="1">
        <f>IFERROR(__xludf.DUMMYFUNCTION("""COMPUTED_VALUE"""),3.513559347E9)</f>
        <v>3513559347</v>
      </c>
      <c r="D4" s="1" t="str">
        <f>IFERROR(__xludf.DUMMYFUNCTION("""COMPUTED_VALUE"""),"Domingo Funesialo 54612 Barro Campañaioni")</f>
        <v>Domingo Funesialo 54612 Barro Campañaioni</v>
      </c>
      <c r="E4" s="1"/>
    </row>
    <row r="5">
      <c r="A5" s="4">
        <f>IFERROR(__xludf.DUMMYFUNCTION("""COMPUTED_VALUE"""),46065.91937481481)</f>
        <v>46065.91937</v>
      </c>
      <c r="B5" s="1" t="str">
        <f>IFERROR(__xludf.DUMMYFUNCTION("""COMPUTED_VALUE"""),"Gorgoto")</f>
        <v>Gorgoto</v>
      </c>
      <c r="C5" s="1">
        <f>IFERROR(__xludf.DUMMYFUNCTION("""COMPUTED_VALUE"""),3.513559347E9)</f>
        <v>3513559347</v>
      </c>
      <c r="D5" s="1" t="str">
        <f>IFERROR(__xludf.DUMMYFUNCTION("""COMPUTED_VALUE"""),"Jsjsjjd bsjsj   51518  vdbjdj")</f>
        <v>Jsjsjjd bsjsj   51518  vdbjdj</v>
      </c>
      <c r="E5" s="1"/>
    </row>
    <row r="6">
      <c r="A6" s="4">
        <f>IFERROR(__xludf.DUMMYFUNCTION("""COMPUTED_VALUE"""),46067.909977083335)</f>
        <v>46067.90998</v>
      </c>
      <c r="B6" s="1" t="str">
        <f>IFERROR(__xludf.DUMMYFUNCTION("""COMPUTED_VALUE"""),"Lolito Supertino")</f>
        <v>Lolito Supertino</v>
      </c>
      <c r="C6" s="1">
        <f>IFERROR(__xludf.DUMMYFUNCTION("""COMPUTED_VALUE"""),3.513559347E9)</f>
        <v>3513559347</v>
      </c>
      <c r="D6" s="1" t="str">
        <f>IFERROR(__xludf.DUMMYFUNCTION("""COMPUTED_VALUE"""),"Bulevares de san juan 3456 Barrio Lopes de vega")</f>
        <v>Bulevares de san juan 3456 Barrio Lopes de vega</v>
      </c>
      <c r="E6" s="1"/>
    </row>
    <row r="7">
      <c r="A7" s="4">
        <f>IFERROR(__xludf.DUMMYFUNCTION("""COMPUTED_VALUE"""),46068.722087222224)</f>
        <v>46068.72209</v>
      </c>
      <c r="B7" s="1" t="str">
        <f>IFERROR(__xludf.DUMMYFUNCTION("""COMPUTED_VALUE"""),"Federico Orellano")</f>
        <v>Federico Orellano</v>
      </c>
      <c r="C7" s="1">
        <f>IFERROR(__xludf.DUMMYFUNCTION("""COMPUTED_VALUE"""),3.513559347E9)</f>
        <v>3513559347</v>
      </c>
      <c r="D7" s="1" t="str">
        <f>IFERROR(__xludf.DUMMYFUNCTION("""COMPUTED_VALUE"""),"Prueba 1234 Bro Prueba 1 cp 4321")</f>
        <v>Prueba 1234 Bro Prueba 1 cp 4321</v>
      </c>
      <c r="E7" s="1" t="str">
        <f>IFERROR(__xludf.DUMMYFUNCTION("""COMPUTED_VALUE"""),"Ywwjye")</f>
        <v>Ywwjye</v>
      </c>
    </row>
    <row r="8">
      <c r="A8" s="4">
        <f>IFERROR(__xludf.DUMMYFUNCTION("""COMPUTED_VALUE"""),46068.72213230324)</f>
        <v>46068.72213</v>
      </c>
      <c r="B8" s="1" t="str">
        <f>IFERROR(__xludf.DUMMYFUNCTION("""COMPUTED_VALUE"""),"Federico Orellano")</f>
        <v>Federico Orellano</v>
      </c>
      <c r="C8" s="1">
        <f>IFERROR(__xludf.DUMMYFUNCTION("""COMPUTED_VALUE"""),3.513559347E9)</f>
        <v>3513559347</v>
      </c>
      <c r="D8" s="1" t="str">
        <f>IFERROR(__xludf.DUMMYFUNCTION("""COMPUTED_VALUE"""),"Prueba 1234 Bro Prueba 1 cp 4321")</f>
        <v>Prueba 1234 Bro Prueba 1 cp 4321</v>
      </c>
      <c r="E8" s="1" t="str">
        <f>IFERROR(__xludf.DUMMYFUNCTION("""COMPUTED_VALUE"""),"eiie")</f>
        <v>eiie</v>
      </c>
    </row>
    <row r="9">
      <c r="A9" s="4">
        <f>IFERROR(__xludf.DUMMYFUNCTION("""COMPUTED_VALUE"""),46068.722922430556)</f>
        <v>46068.72292</v>
      </c>
      <c r="B9" s="1" t="str">
        <f>IFERROR(__xludf.DUMMYFUNCTION("""COMPUTED_VALUE"""),"Juanito")</f>
        <v>Juanito</v>
      </c>
      <c r="C9" s="1">
        <f>IFERROR(__xludf.DUMMYFUNCTION("""COMPUTED_VALUE"""),12345.0)</f>
        <v>12345</v>
      </c>
      <c r="D9" s="1" t="str">
        <f>IFERROR(__xludf.DUMMYFUNCTION("""COMPUTED_VALUE"""),"0987654321")</f>
        <v>0987654321</v>
      </c>
      <c r="E9" s="1" t="str">
        <f>IFERROR(__xludf.DUMMYFUNCTION("""COMPUTED_VALUE"""),"jjjt")</f>
        <v>jjjt</v>
      </c>
    </row>
    <row r="10">
      <c r="A10" s="4">
        <f>IFERROR(__xludf.DUMMYFUNCTION("""COMPUTED_VALUE"""),46068.726037500004)</f>
        <v>46068.72604</v>
      </c>
      <c r="B10" s="1" t="str">
        <f>IFERROR(__xludf.DUMMYFUNCTION("""COMPUTED_VALUE"""),"Nieva Prueba")</f>
        <v>Nieva Prueba</v>
      </c>
      <c r="C10" s="1">
        <f>IFERROR(__xludf.DUMMYFUNCTION("""COMPUTED_VALUE"""),3.513559347E9)</f>
        <v>3513559347</v>
      </c>
      <c r="D10" s="1" t="str">
        <f>IFERROR(__xludf.DUMMYFUNCTION("""COMPUTED_VALUE"""),"Dirección de prueba 1")</f>
        <v>Dirección de prueba 1</v>
      </c>
      <c r="E10" s="1"/>
    </row>
    <row r="11">
      <c r="A11" s="4">
        <f>IFERROR(__xludf.DUMMYFUNCTION("""COMPUTED_VALUE"""),46068.73903166667)</f>
        <v>46068.73903</v>
      </c>
      <c r="B11" s="1" t="str">
        <f>IFERROR(__xludf.DUMMYFUNCTION("""COMPUTED_VALUE"""),"Pepito monje")</f>
        <v>Pepito monje</v>
      </c>
      <c r="C11" s="1">
        <f>IFERROR(__xludf.DUMMYFUNCTION("""COMPUTED_VALUE"""),3.513559347E9)</f>
        <v>3513559347</v>
      </c>
      <c r="D11" s="1" t="str">
        <f>IFERROR(__xludf.DUMMYFUNCTION("""COMPUTED_VALUE"""),"Guntanamera 1020")</f>
        <v>Guntanamera 1020</v>
      </c>
      <c r="E11" s="1" t="str">
        <f>IFERROR(__xludf.DUMMYFUNCTION("""COMPUTED_VALUE"""),"rujrr")</f>
        <v>rujrr</v>
      </c>
    </row>
    <row r="12">
      <c r="A12" s="4">
        <f>IFERROR(__xludf.DUMMYFUNCTION("""COMPUTED_VALUE"""),46069.04093928241)</f>
        <v>46069.04094</v>
      </c>
      <c r="B12" s="1" t="str">
        <f>IFERROR(__xludf.DUMMYFUNCTION("""COMPUTED_VALUE"""),"Villagra Sergio")</f>
        <v>Villagra Sergio</v>
      </c>
      <c r="C12" s="1">
        <f>IFERROR(__xludf.DUMMYFUNCTION("""COMPUTED_VALUE"""),3.513559347E9)</f>
        <v>3513559347</v>
      </c>
      <c r="D12" s="1" t="str">
        <f>IFERROR(__xludf.DUMMYFUNCTION("""COMPUTED_VALUE"""),"Domingo Zipoli 4567 Barrio Alberdi CP 5002")</f>
        <v>Domingo Zipoli 4567 Barrio Alberdi CP 5002</v>
      </c>
      <c r="E12" s="1" t="str">
        <f>IFERROR(__xludf.DUMMYFUNCTION("""COMPUTED_VALUE"""),"eiie")</f>
        <v>eiie</v>
      </c>
    </row>
    <row r="13">
      <c r="A13" s="4">
        <f>IFERROR(__xludf.DUMMYFUNCTION("""COMPUTED_VALUE"""),46069.072799166664)</f>
        <v>46069.0728</v>
      </c>
      <c r="B13" s="1" t="str">
        <f>IFERROR(__xludf.DUMMYFUNCTION("""COMPUTED_VALUE"""),"Preuga corte de luz")</f>
        <v>Preuga corte de luz</v>
      </c>
      <c r="C13" s="1">
        <f>IFERROR(__xludf.DUMMYFUNCTION("""COMPUTED_VALUE"""),3.513559347E9)</f>
        <v>3513559347</v>
      </c>
      <c r="D13" s="1" t="str">
        <f>IFERROR(__xludf.DUMMYFUNCTION("""COMPUTED_VALUE"""),"Gregorio correa 1837 cp Kdkdk barrio")</f>
        <v>Gregorio correa 1837 cp Kdkdk barrio</v>
      </c>
      <c r="E13" s="1" t="str">
        <f>IFERROR(__xludf.DUMMYFUNCTION("""COMPUTED_VALUE"""),"rjjrjr")</f>
        <v>rjjrjr</v>
      </c>
    </row>
    <row r="14">
      <c r="A14" s="4">
        <f>IFERROR(__xludf.DUMMYFUNCTION("""COMPUTED_VALUE"""),46069.79447824074)</f>
        <v>46069.79448</v>
      </c>
      <c r="B14" s="1" t="str">
        <f>IFERROR(__xludf.DUMMYFUNCTION("""COMPUTED_VALUE"""),"Orueba123456")</f>
        <v>Orueba123456</v>
      </c>
      <c r="C14" s="1">
        <f>IFERROR(__xludf.DUMMYFUNCTION("""COMPUTED_VALUE"""),3.513559347E9)</f>
        <v>3513559347</v>
      </c>
      <c r="D14" s="1" t="str">
        <f>IFERROR(__xludf.DUMMYFUNCTION("""COMPUTED_VALUE"""),"Enrique banchs 3281 los alamos")</f>
        <v>Enrique banchs 3281 los alamos</v>
      </c>
      <c r="E14" s="1" t="str">
        <f>IFERROR(__xludf.DUMMYFUNCTION("""COMPUTED_VALUE"""),"iriri")</f>
        <v>iriri</v>
      </c>
    </row>
    <row r="15">
      <c r="A15" s="4">
        <f>IFERROR(__xludf.DUMMYFUNCTION("""COMPUTED_VALUE"""),46069.79786993055)</f>
        <v>46069.79787</v>
      </c>
      <c r="B15" s="1" t="str">
        <f>IFERROR(__xludf.DUMMYFUNCTION("""COMPUTED_VALUE"""),"Prueba numero 2")</f>
        <v>Prueba numero 2</v>
      </c>
      <c r="C15" s="1">
        <f>IFERROR(__xludf.DUMMYFUNCTION("""COMPUTED_VALUE"""),3.513559347E9)</f>
        <v>3513559347</v>
      </c>
      <c r="D15" s="23" t="str">
        <f>IFERROR(__xludf.DUMMYFUNCTION("""COMPUTED_VALUE"""),"https://maps.app.goo.gl/xuNo6YtDjecjWtoJ7")</f>
        <v>https://maps.app.goo.gl/xuNo6YtDjecjWtoJ7</v>
      </c>
      <c r="E15" s="1" t="str">
        <f>IFERROR(__xludf.DUMMYFUNCTION("""COMPUTED_VALUE"""),"ggg")</f>
        <v>ggg</v>
      </c>
    </row>
    <row r="16">
      <c r="A16" s="4">
        <f>IFERROR(__xludf.DUMMYFUNCTION("""COMPUTED_VALUE"""),46070.066752638886)</f>
        <v>46070.06675</v>
      </c>
      <c r="B16" s="1" t="str">
        <f>IFERROR(__xludf.DUMMYFUNCTION("""COMPUTED_VALUE"""),"Nuevo Nuevito peresoso")</f>
        <v>Nuevo Nuevito peresoso</v>
      </c>
      <c r="C16" s="1">
        <f>IFERROR(__xludf.DUMMYFUNCTION("""COMPUTED_VALUE"""),3.513559346E9)</f>
        <v>3513559346</v>
      </c>
      <c r="D16" s="1" t="str">
        <f>IFERROR(__xludf.DUMMYFUNCTION("""COMPUTED_VALUE"""),"Domingo Zipoli 2368 alberdi cordoba")</f>
        <v>Domingo Zipoli 2368 alberdi cordoba</v>
      </c>
      <c r="E16" s="1"/>
    </row>
    <row r="17">
      <c r="A17" s="4">
        <f>IFERROR(__xludf.DUMMYFUNCTION("""COMPUTED_VALUE"""),46070.47383278935)</f>
        <v>46070.47383</v>
      </c>
      <c r="B17" s="1" t="str">
        <f>IFERROR(__xludf.DUMMYFUNCTION("""COMPUTED_VALUE"""),"Ultima carga")</f>
        <v>Ultima carga</v>
      </c>
      <c r="C17" s="1">
        <f>IFERROR(__xludf.DUMMYFUNCTION("""COMPUTED_VALUE"""),3.513559347E9)</f>
        <v>3513559347</v>
      </c>
      <c r="D17" s="1" t="str">
        <f>IFERROR(__xludf.DUMMYFUNCTION("""COMPUTED_VALUE"""),"Ultima carga de prueba")</f>
        <v>Ultima carga de prueba</v>
      </c>
      <c r="E17" s="1"/>
    </row>
    <row r="18">
      <c r="A18" s="4">
        <f>IFERROR(__xludf.DUMMYFUNCTION("""COMPUTED_VALUE"""),46070.68906409723)</f>
        <v>46070.68906</v>
      </c>
      <c r="B18" s="1" t="str">
        <f>IFERROR(__xludf.DUMMYFUNCTION("""COMPUTED_VALUE"""),"Gorgito")</f>
        <v>Gorgito</v>
      </c>
      <c r="C18" s="1">
        <f>IFERROR(__xludf.DUMMYFUNCTION("""COMPUTED_VALUE"""),3.513589347E9)</f>
        <v>3513589347</v>
      </c>
      <c r="D18" s="1" t="str">
        <f>IFERROR(__xludf.DUMMYFUNCTION("""COMPUTED_VALUE"""),"Nieva dirección ")</f>
        <v>Nieva dirección </v>
      </c>
      <c r="E18" s="1"/>
    </row>
    <row r="19">
      <c r="A19" s="4">
        <f>IFERROR(__xludf.DUMMYFUNCTION("""COMPUTED_VALUE"""),46070.694844212965)</f>
        <v>46070.69484</v>
      </c>
      <c r="B19" s="1" t="str">
        <f>IFERROR(__xludf.DUMMYFUNCTION("""COMPUTED_VALUE"""),"Gonzalote")</f>
        <v>Gonzalote</v>
      </c>
      <c r="C19" s="1">
        <f>IFERROR(__xludf.DUMMYFUNCTION("""COMPUTED_VALUE"""),3.513559347E9)</f>
        <v>3513559347</v>
      </c>
      <c r="D19" s="1" t="str">
        <f>IFERROR(__xludf.DUMMYFUNCTION("""COMPUTED_VALUE"""),"Domingo zipoli 345
https://maps.app.goo.gl/vXvuksTmu9fyES1f7
")</f>
        <v>Domingo zipoli 345
https://maps.app.goo.gl/vXvuksTmu9fyES1f7
</v>
      </c>
      <c r="E19" s="1"/>
    </row>
    <row r="20">
      <c r="A20" s="4">
        <f>IFERROR(__xludf.DUMMYFUNCTION("""COMPUTED_VALUE"""),46070.73501456018)</f>
        <v>46070.73501</v>
      </c>
      <c r="B20" s="1" t="str">
        <f>IFERROR(__xludf.DUMMYFUNCTION("""COMPUTED_VALUE"""),"Anita Machado")</f>
        <v>Anita Machado</v>
      </c>
      <c r="C20" s="1">
        <f>IFERROR(__xludf.DUMMYFUNCTION("""COMPUTED_VALUE"""),3.513090975E9)</f>
        <v>3513090975</v>
      </c>
      <c r="D20" s="1" t="str">
        <f>IFERROR(__xludf.DUMMYFUNCTION("""COMPUTED_VALUE"""),"Ruta 20
Ruta 20 deliverys, Fructuoso Rivera 1063, Fructuoso Rivera 1000, X5000 Córdoba")</f>
        <v>Ruta 20
Ruta 20 deliverys, Fructuoso Rivera 1063, Fructuoso Rivera 1000, X5000 Córdoba</v>
      </c>
      <c r="E20" s="1" t="str">
        <f>IFERROR(__xludf.DUMMYFUNCTION("""COMPUTED_VALUE"""),"eia")</f>
        <v>eia</v>
      </c>
    </row>
    <row r="21" ht="15.75" customHeight="1">
      <c r="A21" s="4">
        <f>IFERROR(__xludf.DUMMYFUNCTION("""COMPUTED_VALUE"""),46070.990546932866)</f>
        <v>46070.99055</v>
      </c>
      <c r="B21" s="1" t="str">
        <f>IFERROR(__xludf.DUMMYFUNCTION("""COMPUTED_VALUE"""),"Prueba masemyerchef")</f>
        <v>Prueba masemyerchef</v>
      </c>
      <c r="C21" s="1">
        <f>IFERROR(__xludf.DUMMYFUNCTION("""COMPUTED_VALUE"""),3.513559345E9)</f>
        <v>3513559345</v>
      </c>
      <c r="D21" s="1" t="str">
        <f>IFERROR(__xludf.DUMMYFUNCTION("""COMPUTED_VALUE"""),"San Fernando 3245, Los Álamos, Córdoba, Provincia de Córdoba")</f>
        <v>San Fernando 3245, Los Álamos, Córdoba, Provincia de Córdoba</v>
      </c>
      <c r="E21" s="1"/>
    </row>
    <row r="22" ht="15.75" customHeight="1">
      <c r="A22" s="4">
        <f>IFERROR(__xludf.DUMMYFUNCTION("""COMPUTED_VALUE"""),46071.01636951389)</f>
        <v>46071.01637</v>
      </c>
      <c r="B22" s="1" t="str">
        <f>IFERROR(__xludf.DUMMYFUNCTION("""COMPUTED_VALUE"""),"Villagra Villagra")</f>
        <v>Villagra Villagra</v>
      </c>
      <c r="C22" s="1">
        <f>IFERROR(__xludf.DUMMYFUNCTION("""COMPUTED_VALUE"""),3.513559347E9)</f>
        <v>3513559347</v>
      </c>
      <c r="D22" s="1" t="str">
        <f>IFERROR(__xludf.DUMMYFUNCTION("""COMPUTED_VALUE"""),"Av. Leandro N. Alem 3900, Córdoba, Provincia de Córdoba")</f>
        <v>Av. Leandro N. Alem 3900, Córdoba, Provincia de Córdoba</v>
      </c>
      <c r="E22" s="1" t="str">
        <f>IFERROR(__xludf.DUMMYFUNCTION("""COMPUTED_VALUE"""),"Pruebillacitass")</f>
        <v>Pruebillacitass</v>
      </c>
    </row>
    <row r="23" ht="15.75" customHeight="1">
      <c r="A23" s="4">
        <f>IFERROR(__xludf.DUMMYFUNCTION("""COMPUTED_VALUE"""),46072.167987719906)</f>
        <v>46072.16799</v>
      </c>
      <c r="B23" s="1" t="str">
        <f>IFERROR(__xludf.DUMMYFUNCTION("""COMPUTED_VALUE"""),"Billa")</f>
        <v>Billa</v>
      </c>
      <c r="C23" s="1">
        <f>IFERROR(__xludf.DUMMYFUNCTION("""COMPUTED_VALUE"""),3.513559347E9)</f>
        <v>3513559347</v>
      </c>
      <c r="D23" s="1" t="str">
        <f>IFERROR(__xludf.DUMMYFUNCTION("""COMPUTED_VALUE"""),"Hshajs")</f>
        <v>Hshajs</v>
      </c>
      <c r="E23" s="1"/>
    </row>
    <row r="24" ht="15.75" customHeight="1">
      <c r="A24" s="4">
        <f>IFERROR(__xludf.DUMMYFUNCTION("""COMPUTED_VALUE"""),46072.17262324074)</f>
        <v>46072.17262</v>
      </c>
      <c r="B24" s="1" t="str">
        <f>IFERROR(__xludf.DUMMYFUNCTION("""COMPUTED_VALUE"""),"Kkkkkkkkkkk")</f>
        <v>Kkkkkkkkkkk</v>
      </c>
      <c r="C24" s="1">
        <f>IFERROR(__xludf.DUMMYFUNCTION("""COMPUTED_VALUE"""),3.513559347E9)</f>
        <v>3513559347</v>
      </c>
      <c r="D24" s="1" t="str">
        <f>IFERROR(__xludf.DUMMYFUNCTION("""COMPUTED_VALUE"""),"Kkkkkkkk")</f>
        <v>Kkkkkkkk</v>
      </c>
      <c r="E24" s="1"/>
    </row>
    <row r="25" ht="15.75" customHeight="1">
      <c r="A25" s="4">
        <f>IFERROR(__xludf.DUMMYFUNCTION("""COMPUTED_VALUE"""),46072.178416863426)</f>
        <v>46072.17842</v>
      </c>
      <c r="B25" s="1" t="str">
        <f>IFERROR(__xludf.DUMMYFUNCTION("""COMPUTED_VALUE"""),"Dies numeros")</f>
        <v>Dies numeros</v>
      </c>
      <c r="C25" s="1">
        <f>IFERROR(__xludf.DUMMYFUNCTION("""COMPUTED_VALUE"""),1.213615555E9)</f>
        <v>1213615555</v>
      </c>
      <c r="D25" s="1" t="str">
        <f>IFERROR(__xludf.DUMMYFUNCTION("""COMPUTED_VALUE"""),"Gshsh")</f>
        <v>Gshsh</v>
      </c>
      <c r="E25" s="1"/>
    </row>
    <row r="26" ht="15.75" customHeight="1">
      <c r="A26" s="4">
        <f>IFERROR(__xludf.DUMMYFUNCTION("""COMPUTED_VALUE"""),46072.17998886574)</f>
        <v>46072.17999</v>
      </c>
      <c r="B26" s="1" t="str">
        <f>IFERROR(__xludf.DUMMYFUNCTION("""COMPUTED_VALUE"""),"Otraprueba")</f>
        <v>Otraprueba</v>
      </c>
      <c r="C26" s="1">
        <f>IFERROR(__xludf.DUMMYFUNCTION("""COMPUTED_VALUE"""),1.23456789E9)</f>
        <v>1234567890</v>
      </c>
      <c r="D26" s="1" t="str">
        <f>IFERROR(__xludf.DUMMYFUNCTION("""COMPUTED_VALUE"""),"Otra prueba")</f>
        <v>Otra prueba</v>
      </c>
      <c r="E26" s="1" t="str">
        <f>IFERROR(__xludf.DUMMYFUNCTION("""COMPUTED_VALUE"""),"gg")</f>
        <v>gg</v>
      </c>
    </row>
    <row r="27" ht="15.75" customHeight="1">
      <c r="A27" s="4">
        <f>IFERROR(__xludf.DUMMYFUNCTION("""COMPUTED_VALUE"""),46072.195380798614)</f>
        <v>46072.19538</v>
      </c>
      <c r="B27" s="1" t="str">
        <f>IFERROR(__xludf.DUMMYFUNCTION("""COMPUTED_VALUE"""),"Ghhhhh")</f>
        <v>Ghhhhh</v>
      </c>
      <c r="C27" s="1">
        <f>IFERROR(__xludf.DUMMYFUNCTION("""COMPUTED_VALUE"""),5.213655566E9)</f>
        <v>5213655566</v>
      </c>
      <c r="D27" s="1" t="str">
        <f>IFERROR(__xludf.DUMMYFUNCTION("""COMPUTED_VALUE"""),"Ghh")</f>
        <v>Ghh</v>
      </c>
      <c r="E27" s="1"/>
    </row>
    <row r="28" ht="15.75" customHeight="1">
      <c r="A28" s="4">
        <f>IFERROR(__xludf.DUMMYFUNCTION("""COMPUTED_VALUE"""),46072.19978998843)</f>
        <v>46072.19979</v>
      </c>
      <c r="B28" s="1" t="str">
        <f>IFERROR(__xludf.DUMMYFUNCTION("""COMPUTED_VALUE"""),"Otra pruebexicixixixllla mas ")</f>
        <v>Otra pruebexicixixixllla mas </v>
      </c>
      <c r="C28" s="1">
        <f>IFERROR(__xludf.DUMMYFUNCTION("""COMPUTED_VALUE"""),3.512364676E9)</f>
        <v>3512364676</v>
      </c>
      <c r="D28" s="1" t="str">
        <f>IFERROR(__xludf.DUMMYFUNCTION("""COMPUTED_VALUE"""),"Ysysy")</f>
        <v>Ysysy</v>
      </c>
      <c r="E28" s="1"/>
    </row>
    <row r="29" ht="15.75" customHeight="1">
      <c r="A29" s="4">
        <f>IFERROR(__xludf.DUMMYFUNCTION("""COMPUTED_VALUE"""),46072.70643569445)</f>
        <v>46072.70644</v>
      </c>
      <c r="B29" s="1" t="str">
        <f>IFERROR(__xludf.DUMMYFUNCTION("""COMPUTED_VALUE"""),"Villagra Sergio Adrian")</f>
        <v>Villagra Sergio Adrian</v>
      </c>
      <c r="C29" s="1">
        <f>IFERROR(__xludf.DUMMYFUNCTION("""COMPUTED_VALUE"""),3.513559347E9)</f>
        <v>3513559347</v>
      </c>
      <c r="D29" s="1" t="str">
        <f>IFERROR(__xludf.DUMMYFUNCTION("""COMPUTED_VALUE"""),"Enrique Banchs 3281, X5012 Córdoba")</f>
        <v>Enrique Banchs 3281, X5012 Córdoba</v>
      </c>
      <c r="E29" s="1" t="str">
        <f>IFERROR(__xludf.DUMMYFUNCTION("""COMPUTED_VALUE"""),"El maximo 😎😎😎😎")</f>
        <v>El maximo 😎😎😎😎</v>
      </c>
    </row>
    <row r="30" ht="15.75" customHeight="1">
      <c r="A30" s="4">
        <f>IFERROR(__xludf.DUMMYFUNCTION("""COMPUTED_VALUE"""),46073.738713425926)</f>
        <v>46073.73871</v>
      </c>
      <c r="B30" s="1" t="str">
        <f>IFERROR(__xludf.DUMMYFUNCTION("""COMPUTED_VALUE"""),"Sergio Villagra MTX")</f>
        <v>Sergio Villagra MTX</v>
      </c>
      <c r="C30" s="1">
        <f>IFERROR(__xludf.DUMMYFUNCTION("""COMPUTED_VALUE"""),3.513559347E9)</f>
        <v>3513559347</v>
      </c>
      <c r="D30" s="1" t="str">
        <f>IFERROR(__xludf.DUMMYFUNCTION("""COMPUTED_VALUE"""),"Octavio Pinto 3457, Córdoba, Provincia de Córdoba")</f>
        <v>Octavio Pinto 3457, Córdoba, Provincia de Córdoba</v>
      </c>
      <c r="E30" s="1" t="str">
        <f>IFERROR(__xludf.DUMMYFUNCTION("""COMPUTED_VALUE"""),"Aqui se deben de colocar todas las observaciones.")</f>
        <v>Aqui se deben de colocar todas las observaciones.</v>
      </c>
    </row>
    <row r="31" ht="15.75" customHeight="1">
      <c r="A31" s="4">
        <f>IFERROR(__xludf.DUMMYFUNCTION("""COMPUTED_VALUE"""),46074.17716305556)</f>
        <v>46074.17716</v>
      </c>
      <c r="B31" s="1" t="str">
        <f>IFERROR(__xludf.DUMMYFUNCTION("""COMPUTED_VALUE"""),"Jeronimo ")</f>
        <v>Jeronimo </v>
      </c>
      <c r="C31" s="1">
        <f>IFERROR(__xludf.DUMMYFUNCTION("""COMPUTED_VALUE"""),3.513559347E9)</f>
        <v>3513559347</v>
      </c>
      <c r="D31" s="1" t="str">
        <f>IFERROR(__xludf.DUMMYFUNCTION("""COMPUTED_VALUE"""),"Jerónimo Luis de Cabrera 345, X5000GVG X5000GVG, Córdoba")</f>
        <v>Jerónimo Luis de Cabrera 345, X5000GVG X5000GVG, Córdoba</v>
      </c>
      <c r="E31" s="1" t="str">
        <f>IFERROR(__xludf.DUMMYFUNCTION("""COMPUTED_VALUE"""),"Modificaciones de datos ")</f>
        <v>Modificaciones de datos </v>
      </c>
    </row>
    <row r="32" ht="15.75" customHeight="1">
      <c r="A32" s="4">
        <f>IFERROR(__xludf.DUMMYFUNCTION("""COMPUTED_VALUE"""),46074.38879064815)</f>
        <v>46074.38879</v>
      </c>
      <c r="B32" s="1" t="str">
        <f>IFERROR(__xludf.DUMMYFUNCTION("""COMPUTED_VALUE"""),"Pepito Mpnje")</f>
        <v>Pepito Mpnje</v>
      </c>
      <c r="C32" s="1">
        <f>IFERROR(__xludf.DUMMYFUNCTION("""COMPUTED_VALUE"""),3.513559347E9)</f>
        <v>3513559347</v>
      </c>
      <c r="D32" s="1" t="str">
        <f>IFERROR(__xludf.DUMMYFUNCTION("""COMPUTED_VALUE"""),"La Rioja 368, X5022FRH Córdoba")</f>
        <v>La Rioja 368, X5022FRH Córdoba</v>
      </c>
      <c r="E32" s="1" t="str">
        <f>IFERROR(__xludf.DUMMYFUNCTION("""COMPUTED_VALUE"""),"Cliente conflictivo, avisado por otros electricistas ")</f>
        <v>Cliente conflictivo, avisado por otros electricistas </v>
      </c>
    </row>
    <row r="33" ht="15.75" customHeight="1">
      <c r="A33" s="4">
        <f>IFERROR(__xludf.DUMMYFUNCTION("""COMPUTED_VALUE"""),46082.04411354166)</f>
        <v>46082.04411</v>
      </c>
      <c r="B33" s="1" t="str">
        <f>IFERROR(__xludf.DUMMYFUNCTION("""COMPUTED_VALUE"""),"Leonel Suarez")</f>
        <v>Leonel Suarez</v>
      </c>
      <c r="C33" s="1">
        <f>IFERROR(__xludf.DUMMYFUNCTION("""COMPUTED_VALUE"""),3.516595494E9)</f>
        <v>3516595494</v>
      </c>
      <c r="D33" s="1" t="str">
        <f>IFERROR(__xludf.DUMMYFUNCTION("""COMPUTED_VALUE"""),"Enrique Banchs 3281, X5012 Córdoba")</f>
        <v>Enrique Banchs 3281, X5012 Córdoba</v>
      </c>
      <c r="E33" s="1" t="str">
        <f>IFERROR(__xludf.DUMMYFUNCTION("""COMPUTED_VALUE"""),"Cargamos cambios")</f>
        <v>Cargamos cambios</v>
      </c>
    </row>
    <row r="34" ht="15.75" customHeight="1">
      <c r="A34" s="4">
        <f>IFERROR(__xludf.DUMMYFUNCTION("""COMPUTED_VALUE"""),46087.56516125)</f>
        <v>46087.56516</v>
      </c>
      <c r="B34" s="1" t="str">
        <f>IFERROR(__xludf.DUMMYFUNCTION("""COMPUTED_VALUE"""),"Facundo Suarez Materiales Eléctricos")</f>
        <v>Facundo Suarez Materiales Eléctricos</v>
      </c>
      <c r="C34" s="1">
        <f>IFERROR(__xludf.DUMMYFUNCTION("""COMPUTED_VALUE"""),3.517693218E9)</f>
        <v>3517693218</v>
      </c>
      <c r="D34" s="1" t="str">
        <f>IFERROR(__xludf.DUMMYFUNCTION("""COMPUTED_VALUE"""),"Lino Eneas Spilimbergo 5000, X5001 Córdoba")</f>
        <v>Lino Eneas Spilimbergo 5000, X5001 Córdoba</v>
      </c>
      <c r="E34" s="1" t="str">
        <f>IFERROR(__xludf.DUMMYFUNCTION("""COMPUTED_VALUE"""),"www.sgselectricidad@gmail.com
SGS Materiales Eléctricos e Iluminación")</f>
        <v>www.sgselectricidad@gmail.com
SGS Materiales Eléctricos e Iluminación</v>
      </c>
    </row>
    <row r="35" ht="15.75" customHeight="1">
      <c r="A35" s="4">
        <f>IFERROR(__xludf.DUMMYFUNCTION("""COMPUTED_VALUE"""),46089.7175712037)</f>
        <v>46089.71757</v>
      </c>
      <c r="B35" s="1" t="str">
        <f>IFERROR(__xludf.DUMMYFUNCTION("""COMPUTED_VALUE"""),"Lara Suárez ")</f>
        <v>Lara Suárez </v>
      </c>
      <c r="C35" s="1">
        <f>IFERROR(__xludf.DUMMYFUNCTION("""COMPUTED_VALUE"""),3.513568653E9)</f>
        <v>3513568653</v>
      </c>
      <c r="D35" s="1" t="str">
        <f>IFERROR(__xludf.DUMMYFUNCTION("""COMPUTED_VALUE"""),"San Francisco 1231, X5012CSE Córdoba")</f>
        <v>San Francisco 1231, X5012CSE Córdoba</v>
      </c>
      <c r="E35" s="1" t="str">
        <f>IFERROR(__xludf.DUMMYFUNCTION("""COMPUTED_VALUE"""),"Chussasera !!! 😆")</f>
        <v>Chussasera !!! 😆</v>
      </c>
    </row>
    <row r="36" ht="15.75" customHeight="1">
      <c r="A36" s="4">
        <f>IFERROR(__xludf.DUMMYFUNCTION("""COMPUTED_VALUE"""),46089.88928736111)</f>
        <v>46089.88929</v>
      </c>
      <c r="B36" s="1" t="str">
        <f>IFERROR(__xludf.DUMMYFUNCTION("""COMPUTED_VALUE"""),"Sergio Villagra Prueba ")</f>
        <v>Sergio Villagra Prueba </v>
      </c>
      <c r="C36" s="1">
        <f>IFERROR(__xludf.DUMMYFUNCTION("""COMPUTED_VALUE"""),3.513559347E9)</f>
        <v>3513559347</v>
      </c>
      <c r="D36" s="1" t="str">
        <f>IFERROR(__xludf.DUMMYFUNCTION("""COMPUTED_VALUE"""),"Enrique Banchs 3281, X5012 Córdoba")</f>
        <v>Enrique Banchs 3281, X5012 Córdoba</v>
      </c>
      <c r="E36" s="1" t="str">
        <f>IFERROR(__xludf.DUMMYFUNCTION("""COMPUTED_VALUE"""),"Edicion nueva")</f>
        <v>Edicion nueva</v>
      </c>
    </row>
    <row r="37" ht="15.75" customHeight="1">
      <c r="A37" s="4">
        <f>IFERROR(__xludf.DUMMYFUNCTION("""COMPUTED_VALUE"""),46122.10008899306)</f>
        <v>46122.10009</v>
      </c>
      <c r="B37" s="1" t="str">
        <f>IFERROR(__xludf.DUMMYFUNCTION("""COMPUTED_VALUE"""),"Villagra Sergio ")</f>
        <v>Villagra Sergio </v>
      </c>
      <c r="C37" s="1">
        <f>IFERROR(__xludf.DUMMYFUNCTION("""COMPUTED_VALUE"""),3.513559347E9)</f>
        <v>3513559347</v>
      </c>
      <c r="D37" s="1" t="str">
        <f>IFERROR(__xludf.DUMMYFUNCTION("""COMPUTED_VALUE"""),"Enrique Banchs 3281, X5012 Córdoba")</f>
        <v>Enrique Banchs 3281, X5012 Córdoba</v>
      </c>
      <c r="E37" s="1"/>
    </row>
    <row r="38" ht="15.75" customHeight="1">
      <c r="A38" s="4">
        <f>IFERROR(__xludf.DUMMYFUNCTION("""COMPUTED_VALUE"""),46122.379640150466)</f>
        <v>46122.37964</v>
      </c>
      <c r="B38" s="1" t="str">
        <f>IFERROR(__xludf.DUMMYFUNCTION("""COMPUTED_VALUE"""),"VILLAGRATAA")</f>
        <v>VILLAGRATAA</v>
      </c>
      <c r="C38" s="1">
        <f>IFERROR(__xludf.DUMMYFUNCTION("""COMPUTED_VALUE"""),3.513559347E9)</f>
        <v>3513559347</v>
      </c>
      <c r="D38" s="1" t="str">
        <f>IFERROR(__xludf.DUMMYFUNCTION("""COMPUTED_VALUE"""),"Domingo Zípoli 267, X5000 Córdoba")</f>
        <v>Domingo Zípoli 267, X5000 Córdoba</v>
      </c>
      <c r="E38" s="1" t="str">
        <f>IFERROR(__xludf.DUMMYFUNCTION("""COMPUTED_VALUE"""),"CLIENTE: VILLAGRATAA
TELÉFONO: 3513559347
DIRECCIÓN: Domingo Zípoli 267, X5000 Córdoba
NOTAS: ")</f>
        <v>CLIENTE: VILLAGRATAA
TELÉFONO: 3513559347
DIRECCIÓN: Domingo Zípoli 267, X5000 Córdoba
NOTAS: </v>
      </c>
    </row>
    <row r="39" ht="15.75" customHeight="1">
      <c r="A39" s="4">
        <f>IFERROR(__xludf.DUMMYFUNCTION("""COMPUTED_VALUE"""),46122.74433998842)</f>
        <v>46122.74434</v>
      </c>
      <c r="B39" s="1" t="str">
        <f>IFERROR(__xludf.DUMMYFUNCTION("""COMPUTED_VALUE"""),"Hshsh")</f>
        <v>Hshsh</v>
      </c>
      <c r="C39" s="1">
        <f>IFERROR(__xludf.DUMMYFUNCTION("""COMPUTED_VALUE"""),1.23456789E9)</f>
        <v>1234567890</v>
      </c>
      <c r="D39" s="1" t="str">
        <f>IFERROR(__xludf.DUMMYFUNCTION("""COMPUTED_VALUE"""),"Octavio Pinto 3247, X5000 Córdoba")</f>
        <v>Octavio Pinto 3247, X5000 Córdoba</v>
      </c>
      <c r="E39" s="1" t="str">
        <f>IFERROR(__xludf.DUMMYFUNCTION("""COMPUTED_VALUE"""),"Teléfono agregado")</f>
        <v>Teléfono agregado</v>
      </c>
    </row>
    <row r="40" ht="15.75" customHeight="1">
      <c r="A40" s="4">
        <f>IFERROR(__xludf.DUMMYFUNCTION("""COMPUTED_VALUE"""),46122.744394629626)</f>
        <v>46122.74439</v>
      </c>
      <c r="B40" s="1" t="str">
        <f>IFERROR(__xludf.DUMMYFUNCTION("""COMPUTED_VALUE"""),"Hshsh")</f>
        <v>Hshsh</v>
      </c>
      <c r="C40" s="1" t="str">
        <f>IFERROR(__xludf.DUMMYFUNCTION("""COMPUTED_VALUE"""),"0123456789")</f>
        <v>0123456789</v>
      </c>
      <c r="D40" s="1" t="str">
        <f>IFERROR(__xludf.DUMMYFUNCTION("""COMPUTED_VALUE"""),"Octavio Pinto 3247, X5000 Córdoba")</f>
        <v>Octavio Pinto 3247, X5000 Córdoba</v>
      </c>
      <c r="E40" s="1"/>
    </row>
    <row r="41" ht="15.75" customHeight="1">
      <c r="A41" s="4">
        <f>IFERROR(__xludf.DUMMYFUNCTION("""COMPUTED_VALUE"""),46154.91371010417)</f>
        <v>46154.91371</v>
      </c>
      <c r="B41" s="1" t="str">
        <f>IFERROR(__xludf.DUMMYFUNCTION("""COMPUTED_VALUE"""),"AAAAAAAAAAAAAA")</f>
        <v>AAAAAAAAAAAAAA</v>
      </c>
      <c r="C41" s="1">
        <f>IFERROR(__xludf.DUMMYFUNCTION("""COMPUTED_VALUE"""),1.23456789E9)</f>
        <v>1234567890</v>
      </c>
      <c r="D41" s="1" t="str">
        <f>IFERROR(__xludf.DUMMYFUNCTION("""COMPUTED_VALUE"""),"Enrique Banchs 3281, X5012 Córdoba")</f>
        <v>Enrique Banchs 3281, X5012 Córdoba</v>
      </c>
      <c r="E41" s="1"/>
    </row>
    <row r="42" ht="15.75" customHeight="1">
      <c r="A42" s="4">
        <f>IFERROR(__xludf.DUMMYFUNCTION("""COMPUTED_VALUE"""),46174.44387469908)</f>
        <v>46174.44387</v>
      </c>
      <c r="B42" s="1" t="str">
        <f>IFERROR(__xludf.DUMMYFUNCTION("""COMPUTED_VALUE"""),"Ivan")</f>
        <v>Ivan</v>
      </c>
      <c r="C42" s="1">
        <f>IFERROR(__xludf.DUMMYFUNCTION("""COMPUTED_VALUE"""),2.966615418E9)</f>
        <v>2966615418</v>
      </c>
      <c r="D42" s="1" t="str">
        <f>IFERROR(__xludf.DUMMYFUNCTION("""COMPUTED_VALUE"""),"S/N")</f>
        <v>S/N</v>
      </c>
      <c r="E42" s="1"/>
    </row>
    <row r="43" ht="15.75" customHeight="1">
      <c r="A43" s="4">
        <f>IFERROR(__xludf.DUMMYFUNCTION("""COMPUTED_VALUE"""),46174.95804618056)</f>
        <v>46174.95805</v>
      </c>
      <c r="B43" s="1" t="str">
        <f>IFERROR(__xludf.DUMMYFUNCTION("""COMPUTED_VALUE"""),"EPAC")</f>
        <v>EPAC</v>
      </c>
      <c r="C43" s="1">
        <f>IFERROR(__xludf.DUMMYFUNCTION("""COMPUTED_VALUE"""),3.51815126E9)</f>
        <v>3518151260</v>
      </c>
      <c r="D43" s="1" t="str">
        <f>IFERROR(__xludf.DUMMYFUNCTION("""COMPUTED_VALUE"""),"Diag. Ica 1538, X5012 Córdoba")</f>
        <v>Diag. Ica 1538, X5012 Córdoba</v>
      </c>
      <c r="E43" s="1"/>
    </row>
    <row r="44" ht="15.75" customHeight="1">
      <c r="A44" s="4">
        <f>IFERROR(__xludf.DUMMYFUNCTION("""COMPUTED_VALUE"""),46181.3176121412)</f>
        <v>46181.31761</v>
      </c>
      <c r="B44" s="1" t="str">
        <f>IFERROR(__xludf.DUMMYFUNCTION("""COMPUTED_VALUE"""),"Luciana Garro")</f>
        <v>Luciana Garro</v>
      </c>
      <c r="C44" s="1">
        <f>IFERROR(__xludf.DUMMYFUNCTION("""COMPUTED_VALUE"""),3.515609308E9)</f>
        <v>3515609308</v>
      </c>
      <c r="D44" s="1" t="str">
        <f>IFERROR(__xludf.DUMMYFUNCTION("""COMPUTED_VALUE"""),"Justo Páez Molina 289, X5003FYF Córdoba")</f>
        <v>Justo Páez Molina 289, X5003FYF Córdoba</v>
      </c>
      <c r="E44" s="1"/>
    </row>
    <row r="45" ht="15.75" customHeight="1">
      <c r="A45" s="4">
        <f>IFERROR(__xludf.DUMMYFUNCTION("""COMPUTED_VALUE"""),46189.96543699074)</f>
        <v>46189.96544</v>
      </c>
      <c r="B45" s="1" t="str">
        <f>IFERROR(__xludf.DUMMYFUNCTION("""COMPUTED_VALUE"""),"Casella Florencia ")</f>
        <v>Casella Florencia </v>
      </c>
      <c r="C45" s="1">
        <f>IFERROR(__xludf.DUMMYFUNCTION("""COMPUTED_VALUE"""),3.515433326E9)</f>
        <v>3515433326</v>
      </c>
      <c r="D45" s="1" t="str">
        <f>IFERROR(__xludf.DUMMYFUNCTION("""COMPUTED_VALUE"""),"Gregorio Vélez 4520, X5009 Córdoba")</f>
        <v>Gregorio Vélez 4520, X5009 Córdoba</v>
      </c>
      <c r="E45" s="1"/>
    </row>
    <row r="46" ht="15.75" customHeight="1">
      <c r="A46" s="4">
        <f>IFERROR(__xludf.DUMMYFUNCTION("""COMPUTED_VALUE"""),46190.4854272338)</f>
        <v>46190.48543</v>
      </c>
      <c r="B46" s="1" t="str">
        <f>IFERROR(__xludf.DUMMYFUNCTION("""COMPUTED_VALUE"""),"Florencia Casella Stiefel")</f>
        <v>Florencia Casella Stiefel</v>
      </c>
      <c r="C46" s="1">
        <f>IFERROR(__xludf.DUMMYFUNCTION("""COMPUTED_VALUE"""),3.515433326E9)</f>
        <v>3515433326</v>
      </c>
      <c r="D46" s="1" t="str">
        <f>IFERROR(__xludf.DUMMYFUNCTION("""COMPUTED_VALUE"""),"Gregorio Vélez 4520, X5009 Córdoba")</f>
        <v>Gregorio Vélez 4520, X5009 Córdoba</v>
      </c>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1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showGridLines="0" workbookViewId="0"/>
  </sheetViews>
  <sheetFormatPr customHeight="1" defaultColWidth="12.63" defaultRowHeight="15.0"/>
  <cols>
    <col customWidth="1" min="1" max="1" width="26.25"/>
    <col customWidth="1" min="2" max="2" width="36.38"/>
    <col customWidth="1" min="3" max="3" width="6.0"/>
    <col customWidth="1" min="4" max="4" width="7.38"/>
    <col customWidth="1" min="5" max="5" width="8.88"/>
    <col customWidth="1" min="6" max="6" width="7.0"/>
    <col customWidth="1" min="7" max="7" width="7.75"/>
    <col customWidth="1" min="8" max="8" width="2.75"/>
    <col customWidth="1" min="9" max="9" width="8.38"/>
    <col customWidth="1" min="10" max="10" width="2.38"/>
    <col customWidth="1" min="11" max="11" width="9.38"/>
    <col customWidth="1" min="12" max="12" width="3.0"/>
    <col customWidth="1" min="13" max="13" width="9.0"/>
  </cols>
  <sheetData>
    <row r="2" ht="25.5" customHeight="1">
      <c r="A2" s="6" t="s">
        <v>10</v>
      </c>
      <c r="B2" s="7">
        <v>46067.0</v>
      </c>
    </row>
    <row r="3" ht="25.5" customHeight="1">
      <c r="A3" s="6" t="s">
        <v>12</v>
      </c>
      <c r="B3" s="10" t="s">
        <v>14</v>
      </c>
    </row>
    <row r="4" ht="25.5" customHeight="1">
      <c r="A4" s="6" t="s">
        <v>15</v>
      </c>
      <c r="B4" s="10" t="str">
        <f>VLOOKUP(B3,Clientes!B2:D200,3,0)</f>
        <v>Guntanamera 1020</v>
      </c>
    </row>
    <row r="5">
      <c r="C5" s="1"/>
      <c r="D5" s="1"/>
      <c r="E5" s="1"/>
    </row>
    <row r="6">
      <c r="A6" s="11" t="s">
        <v>16</v>
      </c>
      <c r="B6" s="11" t="s">
        <v>17</v>
      </c>
      <c r="C6" s="12" t="s">
        <v>18</v>
      </c>
      <c r="D6" s="13"/>
      <c r="E6" s="14"/>
      <c r="F6" s="15" t="s">
        <v>1</v>
      </c>
      <c r="G6" s="11" t="s">
        <v>19</v>
      </c>
      <c r="H6" s="16"/>
      <c r="I6" s="11" t="s">
        <v>20</v>
      </c>
      <c r="J6" s="16"/>
      <c r="K6" s="11" t="s">
        <v>21</v>
      </c>
      <c r="L6" s="16"/>
      <c r="M6" s="11" t="s">
        <v>22</v>
      </c>
    </row>
    <row r="7" ht="29.25" customHeight="1">
      <c r="A7" s="17"/>
      <c r="B7" s="17"/>
      <c r="C7" s="11" t="s">
        <v>23</v>
      </c>
      <c r="D7" s="11" t="s">
        <v>24</v>
      </c>
      <c r="E7" s="11" t="s">
        <v>25</v>
      </c>
      <c r="F7" s="17"/>
      <c r="G7" s="17"/>
      <c r="H7" s="16"/>
      <c r="I7" s="17"/>
      <c r="J7" s="16"/>
      <c r="K7" s="17"/>
      <c r="L7" s="16"/>
      <c r="M7" s="17"/>
    </row>
    <row r="8" ht="26.25" customHeight="1">
      <c r="A8" s="18" t="s">
        <v>26</v>
      </c>
      <c r="B8" s="18" t="s">
        <v>27</v>
      </c>
      <c r="C8" s="18"/>
      <c r="D8" s="18"/>
      <c r="E8" s="18"/>
      <c r="F8" s="18">
        <v>1.0</v>
      </c>
      <c r="G8" s="19" t="str">
        <f>IFERROR(VLOOKUP(B8,Precios!D:E,2,0), "")</f>
        <v/>
      </c>
      <c r="H8" s="20"/>
      <c r="I8" s="21" t="str">
        <f t="shared" ref="I8:I33" si="1">IF(G8*F8=0, "",G8*F8)</f>
        <v/>
      </c>
      <c r="K8" s="22">
        <f t="shared" ref="K8:K30" si="2">(SUM($I$8:$I$33)*C8)/-100</f>
        <v>0</v>
      </c>
      <c r="M8" s="24" t="str">
        <f t="shared" ref="M8:M33" si="3">IF(I8+K8=0, "",I8+K8)</f>
        <v/>
      </c>
    </row>
    <row r="9" ht="26.25" customHeight="1">
      <c r="A9" s="18" t="s">
        <v>29</v>
      </c>
      <c r="B9" s="18" t="s">
        <v>30</v>
      </c>
      <c r="C9" s="18"/>
      <c r="D9" s="18"/>
      <c r="E9" s="18"/>
      <c r="F9" s="18">
        <v>1.0</v>
      </c>
      <c r="G9" s="25" t="str">
        <f>IFERROR(VLOOKUP(B9,Precios!D:E,2,0), "")</f>
        <v/>
      </c>
      <c r="H9" s="26"/>
      <c r="I9" s="22" t="str">
        <f t="shared" si="1"/>
        <v/>
      </c>
      <c r="K9" s="22">
        <f t="shared" si="2"/>
        <v>0</v>
      </c>
      <c r="M9" s="27" t="str">
        <f t="shared" si="3"/>
        <v/>
      </c>
    </row>
    <row r="10" ht="26.25" customHeight="1">
      <c r="A10" s="18" t="s">
        <v>31</v>
      </c>
      <c r="B10" s="18" t="s">
        <v>32</v>
      </c>
      <c r="C10" s="18"/>
      <c r="D10" s="18"/>
      <c r="E10" s="18"/>
      <c r="F10" s="18">
        <v>1.0</v>
      </c>
      <c r="G10" s="25">
        <f>IFERROR(VLOOKUP(B10,Precios!D:E,2,0), "")</f>
        <v>56500</v>
      </c>
      <c r="H10" s="26"/>
      <c r="I10" s="22">
        <f t="shared" si="1"/>
        <v>56500</v>
      </c>
      <c r="K10" s="22">
        <f t="shared" si="2"/>
        <v>0</v>
      </c>
      <c r="M10" s="27">
        <f t="shared" si="3"/>
        <v>56500</v>
      </c>
    </row>
    <row r="11" ht="26.25" customHeight="1">
      <c r="A11" s="18" t="s">
        <v>29</v>
      </c>
      <c r="B11" s="18" t="s">
        <v>33</v>
      </c>
      <c r="C11" s="18">
        <v>45.0</v>
      </c>
      <c r="D11" s="18" t="s">
        <v>24</v>
      </c>
      <c r="E11" s="18"/>
      <c r="F11" s="18"/>
      <c r="G11" s="25" t="str">
        <f>IFERROR(VLOOKUP(B11,Precios!D:E,2,0), "")</f>
        <v/>
      </c>
      <c r="H11" s="26"/>
      <c r="I11" s="22" t="str">
        <f t="shared" si="1"/>
        <v/>
      </c>
      <c r="K11" s="22">
        <f t="shared" si="2"/>
        <v>-155475</v>
      </c>
      <c r="M11" s="27">
        <f t="shared" si="3"/>
        <v>-155475</v>
      </c>
    </row>
    <row r="12" ht="26.25" customHeight="1">
      <c r="A12" s="18"/>
      <c r="B12" s="18"/>
      <c r="C12" s="18"/>
      <c r="D12" s="18"/>
      <c r="E12" s="18"/>
      <c r="F12" s="18"/>
      <c r="G12" s="25" t="str">
        <f>IFERROR(VLOOKUP(B12,Precios!D:E,2,0), "")</f>
        <v/>
      </c>
      <c r="H12" s="26"/>
      <c r="I12" s="22" t="str">
        <f t="shared" si="1"/>
        <v/>
      </c>
      <c r="K12" s="22">
        <f t="shared" si="2"/>
        <v>0</v>
      </c>
      <c r="M12" s="27" t="str">
        <f t="shared" si="3"/>
        <v/>
      </c>
    </row>
    <row r="13" ht="26.25" customHeight="1">
      <c r="A13" s="18"/>
      <c r="B13" s="18"/>
      <c r="C13" s="18"/>
      <c r="D13" s="18"/>
      <c r="E13" s="18"/>
      <c r="F13" s="18"/>
      <c r="G13" s="25" t="str">
        <f>IFERROR(VLOOKUP(B13,Precios!D:E,2,0), "")</f>
        <v/>
      </c>
      <c r="H13" s="26"/>
      <c r="I13" s="22" t="str">
        <f t="shared" si="1"/>
        <v/>
      </c>
      <c r="K13" s="22">
        <f t="shared" si="2"/>
        <v>0</v>
      </c>
      <c r="M13" s="27" t="str">
        <f t="shared" si="3"/>
        <v/>
      </c>
    </row>
    <row r="14" ht="26.25" customHeight="1">
      <c r="A14" s="18"/>
      <c r="B14" s="18"/>
      <c r="C14" s="18"/>
      <c r="D14" s="18"/>
      <c r="E14" s="18"/>
      <c r="F14" s="18"/>
      <c r="G14" s="25" t="str">
        <f>IFERROR(VLOOKUP(B14,Precios!D:E,2,0), "")</f>
        <v/>
      </c>
      <c r="H14" s="26"/>
      <c r="I14" s="22" t="str">
        <f t="shared" si="1"/>
        <v/>
      </c>
      <c r="K14" s="22">
        <f t="shared" si="2"/>
        <v>0</v>
      </c>
      <c r="M14" s="27" t="str">
        <f t="shared" si="3"/>
        <v/>
      </c>
    </row>
    <row r="15" ht="26.25" customHeight="1">
      <c r="A15" s="18"/>
      <c r="B15" s="18"/>
      <c r="C15" s="18"/>
      <c r="D15" s="28"/>
      <c r="E15" s="18"/>
      <c r="F15" s="18"/>
      <c r="G15" s="25" t="str">
        <f>IFERROR(VLOOKUP(B15,Precios!D:E,2,0), "")</f>
        <v/>
      </c>
      <c r="H15" s="26"/>
      <c r="I15" s="22" t="str">
        <f t="shared" si="1"/>
        <v/>
      </c>
      <c r="K15" s="22">
        <f t="shared" si="2"/>
        <v>0</v>
      </c>
      <c r="M15" s="27" t="str">
        <f t="shared" si="3"/>
        <v/>
      </c>
    </row>
    <row r="16" ht="26.25" customHeight="1">
      <c r="A16" s="18"/>
      <c r="B16" s="18"/>
      <c r="C16" s="18"/>
      <c r="D16" s="28"/>
      <c r="E16" s="18"/>
      <c r="F16" s="18"/>
      <c r="G16" s="25" t="str">
        <f>IFERROR(VLOOKUP(B16,Precios!D:E,2,0), "")</f>
        <v/>
      </c>
      <c r="H16" s="26"/>
      <c r="I16" s="22" t="str">
        <f t="shared" si="1"/>
        <v/>
      </c>
      <c r="K16" s="22">
        <f t="shared" si="2"/>
        <v>0</v>
      </c>
      <c r="M16" s="27" t="str">
        <f t="shared" si="3"/>
        <v/>
      </c>
    </row>
    <row r="17" ht="26.25" customHeight="1">
      <c r="A17" s="18"/>
      <c r="B17" s="18"/>
      <c r="C17" s="18"/>
      <c r="D17" s="18"/>
      <c r="E17" s="18"/>
      <c r="F17" s="18"/>
      <c r="G17" s="25" t="str">
        <f>IFERROR(VLOOKUP(B17,Precios!D:E,2,0), "")</f>
        <v/>
      </c>
      <c r="H17" s="26"/>
      <c r="I17" s="22" t="str">
        <f t="shared" si="1"/>
        <v/>
      </c>
      <c r="K17" s="22">
        <f t="shared" si="2"/>
        <v>0</v>
      </c>
      <c r="M17" s="27" t="str">
        <f t="shared" si="3"/>
        <v/>
      </c>
    </row>
    <row r="18" ht="26.25" customHeight="1">
      <c r="A18" s="18"/>
      <c r="B18" s="18"/>
      <c r="C18" s="18"/>
      <c r="D18" s="18"/>
      <c r="E18" s="18"/>
      <c r="F18" s="18"/>
      <c r="G18" s="25" t="str">
        <f>IFERROR(VLOOKUP(B18,Precios!D:E,2,0), "")</f>
        <v/>
      </c>
      <c r="H18" s="26"/>
      <c r="I18" s="22" t="str">
        <f t="shared" si="1"/>
        <v/>
      </c>
      <c r="K18" s="22">
        <f t="shared" si="2"/>
        <v>0</v>
      </c>
      <c r="M18" s="27" t="str">
        <f t="shared" si="3"/>
        <v/>
      </c>
    </row>
    <row r="19" ht="26.25" customHeight="1">
      <c r="A19" s="18"/>
      <c r="B19" s="18"/>
      <c r="C19" s="18"/>
      <c r="D19" s="28"/>
      <c r="E19" s="18"/>
      <c r="F19" s="18"/>
      <c r="G19" s="25" t="str">
        <f>IFERROR(VLOOKUP(B19,Precios!D:E,2,0), "")</f>
        <v/>
      </c>
      <c r="H19" s="26"/>
      <c r="I19" s="22" t="str">
        <f t="shared" si="1"/>
        <v/>
      </c>
      <c r="K19" s="22">
        <f t="shared" si="2"/>
        <v>0</v>
      </c>
      <c r="M19" s="27" t="str">
        <f t="shared" si="3"/>
        <v/>
      </c>
    </row>
    <row r="20" ht="26.25" customHeight="1">
      <c r="A20" s="18"/>
      <c r="B20" s="18"/>
      <c r="C20" s="18"/>
      <c r="D20" s="28"/>
      <c r="E20" s="18"/>
      <c r="F20" s="18"/>
      <c r="G20" s="25" t="str">
        <f>IFERROR(VLOOKUP(B20,Precios!D:E,2,0), "")</f>
        <v/>
      </c>
      <c r="H20" s="26"/>
      <c r="I20" s="22" t="str">
        <f t="shared" si="1"/>
        <v/>
      </c>
      <c r="K20" s="22">
        <f t="shared" si="2"/>
        <v>0</v>
      </c>
      <c r="M20" s="27" t="str">
        <f t="shared" si="3"/>
        <v/>
      </c>
    </row>
    <row r="21" ht="26.25" customHeight="1">
      <c r="A21" s="18"/>
      <c r="B21" s="18"/>
      <c r="C21" s="18"/>
      <c r="D21" s="28"/>
      <c r="E21" s="18"/>
      <c r="F21" s="18"/>
      <c r="G21" s="25" t="str">
        <f>IFERROR(VLOOKUP(B21,Precios!D:E,2,0), "")</f>
        <v/>
      </c>
      <c r="H21" s="26"/>
      <c r="I21" s="22" t="str">
        <f t="shared" si="1"/>
        <v/>
      </c>
      <c r="K21" s="22">
        <f t="shared" si="2"/>
        <v>0</v>
      </c>
      <c r="M21" s="27" t="str">
        <f t="shared" si="3"/>
        <v/>
      </c>
    </row>
    <row r="22" ht="26.25" customHeight="1">
      <c r="A22" s="18"/>
      <c r="B22" s="18"/>
      <c r="C22" s="18"/>
      <c r="D22" s="28"/>
      <c r="E22" s="18"/>
      <c r="F22" s="18"/>
      <c r="G22" s="25" t="str">
        <f>IFERROR(VLOOKUP(B22,Precios!D:E,2,0), "")</f>
        <v/>
      </c>
      <c r="H22" s="26"/>
      <c r="I22" s="22" t="str">
        <f t="shared" si="1"/>
        <v/>
      </c>
      <c r="K22" s="22">
        <f t="shared" si="2"/>
        <v>0</v>
      </c>
      <c r="M22" s="27" t="str">
        <f t="shared" si="3"/>
        <v/>
      </c>
    </row>
    <row r="23" ht="26.25" customHeight="1">
      <c r="A23" s="18"/>
      <c r="B23" s="18"/>
      <c r="C23" s="18"/>
      <c r="D23" s="28"/>
      <c r="E23" s="18"/>
      <c r="F23" s="18"/>
      <c r="G23" s="25" t="str">
        <f>IFERROR(VLOOKUP(B23,Precios!D:E,2,0), "")</f>
        <v/>
      </c>
      <c r="H23" s="26"/>
      <c r="I23" s="22" t="str">
        <f t="shared" si="1"/>
        <v/>
      </c>
      <c r="K23" s="22">
        <f t="shared" si="2"/>
        <v>0</v>
      </c>
      <c r="M23" s="27" t="str">
        <f t="shared" si="3"/>
        <v/>
      </c>
    </row>
    <row r="24" ht="26.25" customHeight="1">
      <c r="A24" s="18"/>
      <c r="B24" s="18"/>
      <c r="C24" s="18"/>
      <c r="D24" s="28"/>
      <c r="E24" s="18"/>
      <c r="F24" s="18"/>
      <c r="G24" s="25" t="str">
        <f>IFERROR(VLOOKUP(B24,Precios!D:E,2,0), "")</f>
        <v/>
      </c>
      <c r="H24" s="26"/>
      <c r="I24" s="22" t="str">
        <f t="shared" si="1"/>
        <v/>
      </c>
      <c r="K24" s="22">
        <f t="shared" si="2"/>
        <v>0</v>
      </c>
      <c r="M24" s="27" t="str">
        <f t="shared" si="3"/>
        <v/>
      </c>
    </row>
    <row r="25" ht="26.25" customHeight="1">
      <c r="A25" s="18"/>
      <c r="B25" s="18"/>
      <c r="C25" s="18"/>
      <c r="D25" s="28"/>
      <c r="E25" s="18"/>
      <c r="F25" s="18"/>
      <c r="G25" s="25" t="str">
        <f>IFERROR(VLOOKUP(B25,Precios!D:E,2,0), "")</f>
        <v/>
      </c>
      <c r="H25" s="26"/>
      <c r="I25" s="22" t="str">
        <f t="shared" si="1"/>
        <v/>
      </c>
      <c r="K25" s="22">
        <f t="shared" si="2"/>
        <v>0</v>
      </c>
      <c r="M25" s="27" t="str">
        <f t="shared" si="3"/>
        <v/>
      </c>
    </row>
    <row r="26" ht="26.25" customHeight="1">
      <c r="A26" s="18"/>
      <c r="B26" s="18"/>
      <c r="C26" s="18"/>
      <c r="D26" s="28"/>
      <c r="E26" s="18"/>
      <c r="F26" s="18"/>
      <c r="G26" s="25" t="str">
        <f>IFERROR(VLOOKUP(B26,Precios!D:E,2,0), "")</f>
        <v/>
      </c>
      <c r="H26" s="26"/>
      <c r="I26" s="22" t="str">
        <f t="shared" si="1"/>
        <v/>
      </c>
      <c r="K26" s="22">
        <f t="shared" si="2"/>
        <v>0</v>
      </c>
      <c r="M26" s="27" t="str">
        <f t="shared" si="3"/>
        <v/>
      </c>
    </row>
    <row r="27" ht="26.25" customHeight="1">
      <c r="A27" s="18"/>
      <c r="B27" s="18"/>
      <c r="C27" s="18"/>
      <c r="D27" s="28"/>
      <c r="E27" s="18"/>
      <c r="F27" s="18"/>
      <c r="G27" s="25" t="str">
        <f>IFERROR(VLOOKUP(B27,Precios!D:E,2,0), "")</f>
        <v/>
      </c>
      <c r="H27" s="26"/>
      <c r="I27" s="22" t="str">
        <f t="shared" si="1"/>
        <v/>
      </c>
      <c r="K27" s="22">
        <f t="shared" si="2"/>
        <v>0</v>
      </c>
      <c r="M27" s="27" t="str">
        <f t="shared" si="3"/>
        <v/>
      </c>
    </row>
    <row r="28" ht="26.25" customHeight="1">
      <c r="A28" s="18"/>
      <c r="B28" s="18"/>
      <c r="C28" s="18"/>
      <c r="D28" s="18"/>
      <c r="E28" s="18"/>
      <c r="F28" s="18"/>
      <c r="G28" s="25" t="str">
        <f>IFERROR(VLOOKUP(B28,Precios!D:E,2,0), "")</f>
        <v/>
      </c>
      <c r="H28" s="26"/>
      <c r="I28" s="22" t="str">
        <f t="shared" si="1"/>
        <v/>
      </c>
      <c r="K28" s="22">
        <f t="shared" si="2"/>
        <v>0</v>
      </c>
      <c r="M28" s="27" t="str">
        <f t="shared" si="3"/>
        <v/>
      </c>
    </row>
    <row r="29" ht="26.25" customHeight="1">
      <c r="A29" s="18" t="s">
        <v>34</v>
      </c>
      <c r="B29" s="18" t="s">
        <v>35</v>
      </c>
      <c r="C29" s="18"/>
      <c r="D29" s="28"/>
      <c r="E29" s="18"/>
      <c r="F29" s="18"/>
      <c r="G29" s="25">
        <f>IFERROR(VLOOKUP(B29,Precios!D:E,2,0), "")</f>
        <v>222000</v>
      </c>
      <c r="H29" s="26"/>
      <c r="I29" s="22" t="str">
        <f t="shared" si="1"/>
        <v/>
      </c>
      <c r="K29" s="22">
        <f t="shared" si="2"/>
        <v>0</v>
      </c>
      <c r="M29" s="27" t="str">
        <f t="shared" si="3"/>
        <v/>
      </c>
    </row>
    <row r="30" ht="26.25" customHeight="1">
      <c r="A30" s="18" t="s">
        <v>34</v>
      </c>
      <c r="B30" s="18" t="s">
        <v>36</v>
      </c>
      <c r="C30" s="18"/>
      <c r="D30" s="18"/>
      <c r="E30" s="18"/>
      <c r="F30" s="18">
        <v>1.0</v>
      </c>
      <c r="G30" s="31">
        <f>IFERROR(VLOOKUP(B30,Precios!D:E,2,0), "")</f>
        <v>289000</v>
      </c>
      <c r="H30" s="32"/>
      <c r="I30" s="33">
        <f t="shared" si="1"/>
        <v>289000</v>
      </c>
      <c r="K30" s="22">
        <f t="shared" si="2"/>
        <v>0</v>
      </c>
      <c r="M30" s="34">
        <f t="shared" si="3"/>
        <v>289000</v>
      </c>
    </row>
    <row r="31" ht="18.75" customHeight="1">
      <c r="G31" s="1" t="str">
        <f>IFERROR(VLOOKUP(B31,Precios!D:E,2,0), "")</f>
        <v/>
      </c>
      <c r="I31" s="1" t="str">
        <f t="shared" si="1"/>
        <v/>
      </c>
      <c r="M31" s="1" t="str">
        <f t="shared" si="3"/>
        <v/>
      </c>
    </row>
    <row r="32" ht="18.75" customHeight="1">
      <c r="G32" s="1" t="str">
        <f>IFERROR(VLOOKUP(B32,Precios!D:E,2,0), "")</f>
        <v/>
      </c>
      <c r="I32" s="1" t="str">
        <f t="shared" si="1"/>
        <v/>
      </c>
      <c r="M32" s="1" t="str">
        <f t="shared" si="3"/>
        <v/>
      </c>
    </row>
    <row r="33" ht="18.75" customHeight="1">
      <c r="G33" s="1" t="str">
        <f>IFERROR(VLOOKUP(B33,Precios!D:E,2,0), "")</f>
        <v/>
      </c>
      <c r="I33" s="1" t="str">
        <f t="shared" si="1"/>
        <v/>
      </c>
      <c r="M33" s="1" t="str">
        <f t="shared" si="3"/>
        <v/>
      </c>
    </row>
    <row r="34" ht="18.75" customHeight="1">
      <c r="K34" s="35" t="s">
        <v>37</v>
      </c>
      <c r="M34" s="35">
        <f>SUMIF(M8:M30,"&gt;0")</f>
        <v>345500</v>
      </c>
    </row>
    <row r="35" ht="18.75" customHeight="1">
      <c r="K35" s="35" t="s">
        <v>38</v>
      </c>
      <c r="M35" s="35">
        <f>SUMIF(M8:M30,"&lt;0")</f>
        <v>-155475</v>
      </c>
    </row>
    <row r="36" ht="18.75" customHeight="1">
      <c r="A36" s="1"/>
      <c r="K36" s="35"/>
      <c r="L36" s="35"/>
      <c r="M36" s="35"/>
    </row>
    <row r="37" ht="18.75" customHeight="1">
      <c r="K37" s="35" t="s">
        <v>39</v>
      </c>
      <c r="M37" s="35">
        <f>SUM(M34,M35)</f>
        <v>190025</v>
      </c>
    </row>
    <row r="38" ht="18.75" customHeight="1"/>
    <row r="39" ht="18.75" customHeight="1">
      <c r="H39" s="1"/>
      <c r="I39" s="1" t="s">
        <v>40</v>
      </c>
    </row>
    <row r="40" ht="18.75" customHeight="1"/>
    <row r="41" ht="18.75" customHeight="1">
      <c r="A41" s="1">
        <f>IFERROR(__xludf.DUMMYFUNCTION("IMPORTRANGE(""https://docs.google.com/spreadsheets/d/1aPynYCYBaEafPC4rqTulMOzPg_guy_NLzZHOzvFJwyw/edit?usp=drivesdk"", ""Respuestas de formulario 1!C5"")"),3.513559347E9)</f>
        <v>3513559347</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K6:K7"/>
    <mergeCell ref="K34:L34"/>
    <mergeCell ref="K35:L35"/>
    <mergeCell ref="K37:L37"/>
    <mergeCell ref="A6:A7"/>
    <mergeCell ref="B6:B7"/>
    <mergeCell ref="C6:E6"/>
    <mergeCell ref="F6:F7"/>
    <mergeCell ref="G6:G7"/>
    <mergeCell ref="I6:I7"/>
    <mergeCell ref="M6:M7"/>
  </mergeCells>
  <conditionalFormatting sqref="A19">
    <cfRule type="colorScale" priority="1">
      <colorScale>
        <cfvo type="min"/>
        <cfvo type="max"/>
        <color rgb="FF57BB8A"/>
        <color rgb="FFFFFFFF"/>
      </colorScale>
    </cfRule>
  </conditionalFormatting>
  <dataValidations>
    <dataValidation type="list" allowBlank="1" sqref="B15">
      <formula1>'F1'!$H:$H</formula1>
    </dataValidation>
    <dataValidation type="list" allowBlank="1" sqref="B25">
      <formula1>'F1'!$R:$R</formula1>
    </dataValidation>
    <dataValidation type="list" allowBlank="1" sqref="B18">
      <formula1>'F1'!$K:$K</formula1>
    </dataValidation>
    <dataValidation type="list" allowBlank="1" sqref="B17">
      <formula1>'F1'!$J:$J</formula1>
    </dataValidation>
    <dataValidation type="list" allowBlank="1" sqref="B11">
      <formula1>'F1'!$D:$D</formula1>
    </dataValidation>
    <dataValidation type="list" allowBlank="1" sqref="B16">
      <formula1>'F1'!$I:$I</formula1>
    </dataValidation>
    <dataValidation type="list" allowBlank="1" sqref="A29">
      <formula1>Precios!$C25:$C41</formula1>
    </dataValidation>
    <dataValidation type="list" allowBlank="1" sqref="B30">
      <formula1>'F1'!$W:$W</formula1>
    </dataValidation>
    <dataValidation type="list" allowBlank="1" sqref="B26">
      <formula1>'F1'!$S:$S</formula1>
    </dataValidation>
    <dataValidation type="list" allowBlank="1" sqref="B8">
      <formula1>'F1'!$A:$A</formula1>
    </dataValidation>
    <dataValidation type="list" allowBlank="1" sqref="B12">
      <formula1>'F1'!$E:$E</formula1>
    </dataValidation>
    <dataValidation type="list" allowBlank="1" sqref="A8:A27">
      <formula1>Precios!$C2:$C41</formula1>
    </dataValidation>
    <dataValidation type="list" allowBlank="1" sqref="B29">
      <formula1>'F1'!$V:$V</formula1>
    </dataValidation>
    <dataValidation type="list" allowBlank="1" sqref="B3">
      <formula1>Clientes!B2:B200</formula1>
    </dataValidation>
    <dataValidation type="list" allowBlank="1" sqref="A30">
      <formula1>Precios!$C26:$C41</formula1>
    </dataValidation>
    <dataValidation type="list" allowBlank="1" sqref="B21">
      <formula1>'F1'!$N:$N</formula1>
    </dataValidation>
    <dataValidation type="list" allowBlank="1" sqref="A28">
      <formula1>Precios!$C23:$C41</formula1>
    </dataValidation>
    <dataValidation type="list" allowBlank="1" sqref="B22">
      <formula1>'F1'!$O:$O</formula1>
    </dataValidation>
    <dataValidation type="list" allowBlank="1" sqref="B20">
      <formula1>'F1'!$M:$M</formula1>
    </dataValidation>
    <dataValidation type="list" allowBlank="1" sqref="B9">
      <formula1>'F1'!$B:$B</formula1>
    </dataValidation>
    <dataValidation type="list" allowBlank="1" sqref="B13">
      <formula1>'F1'!$F:$F</formula1>
    </dataValidation>
    <dataValidation type="list" allowBlank="1" sqref="D8:D30">
      <formula1>"%,-"</formula1>
    </dataValidation>
    <dataValidation type="list" allowBlank="1" sqref="B14">
      <formula1>'F1'!$G:$G</formula1>
    </dataValidation>
    <dataValidation type="list" allowBlank="1" sqref="B23">
      <formula1>'F1'!$P:$P</formula1>
    </dataValidation>
    <dataValidation type="list" allowBlank="1" sqref="B27">
      <formula1>'F1'!$T:$T</formula1>
    </dataValidation>
    <dataValidation type="list" allowBlank="1" sqref="B24">
      <formula1>'F1'!$Q:$Q</formula1>
    </dataValidation>
    <dataValidation type="list" allowBlank="1" sqref="B28">
      <formula1>'F1'!$U:$U</formula1>
    </dataValidation>
    <dataValidation type="list" allowBlank="1" sqref="B19">
      <formula1>'F1'!$L:$L</formula1>
    </dataValidation>
    <dataValidation type="list" allowBlank="1" sqref="B10">
      <formula1>'F1'!$C:$C</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showGridLines="0" workbookViewId="0"/>
  </sheetViews>
  <sheetFormatPr customHeight="1" defaultColWidth="12.63" defaultRowHeight="15.0"/>
  <cols>
    <col customWidth="1" min="1" max="1" width="10.5"/>
    <col customWidth="1" min="2" max="2" width="36.38"/>
    <col customWidth="1" min="3" max="3" width="6.0"/>
    <col customWidth="1" min="4" max="4" width="7.38"/>
    <col customWidth="1" min="5" max="5" width="8.88"/>
    <col customWidth="1" min="6" max="6" width="7.0"/>
    <col customWidth="1" min="7" max="7" width="7.75"/>
    <col customWidth="1" min="8" max="8" width="2.75"/>
    <col customWidth="1" min="9" max="9" width="8.38"/>
    <col customWidth="1" min="10" max="10" width="2.38"/>
    <col customWidth="1" min="11" max="11" width="9.38"/>
    <col customWidth="1" min="12" max="12" width="3.0"/>
    <col customWidth="1" min="13" max="13" width="9.0"/>
  </cols>
  <sheetData>
    <row r="2" ht="25.5" customHeight="1">
      <c r="A2" s="6" t="s">
        <v>10</v>
      </c>
      <c r="B2" s="7">
        <v>46067.0</v>
      </c>
    </row>
    <row r="3" ht="25.5" customHeight="1">
      <c r="A3" s="6" t="s">
        <v>12</v>
      </c>
      <c r="B3" s="10" t="s">
        <v>14</v>
      </c>
    </row>
    <row r="4" ht="25.5" customHeight="1">
      <c r="A4" s="6" t="s">
        <v>15</v>
      </c>
      <c r="B4" s="10" t="str">
        <f>VLOOKUP(B3,Clientes!B2:D200,3,0)</f>
        <v>Guntanamera 1020</v>
      </c>
    </row>
    <row r="5">
      <c r="C5" s="1"/>
      <c r="D5" s="1"/>
      <c r="E5" s="1"/>
    </row>
    <row r="6">
      <c r="A6" s="11" t="s">
        <v>16</v>
      </c>
      <c r="B6" s="11" t="s">
        <v>17</v>
      </c>
      <c r="C6" s="12" t="s">
        <v>18</v>
      </c>
      <c r="D6" s="13"/>
      <c r="E6" s="14"/>
      <c r="F6" s="15" t="s">
        <v>1</v>
      </c>
      <c r="G6" s="11" t="s">
        <v>19</v>
      </c>
      <c r="H6" s="16"/>
      <c r="I6" s="11" t="s">
        <v>20</v>
      </c>
      <c r="J6" s="16"/>
      <c r="K6" s="11" t="s">
        <v>21</v>
      </c>
      <c r="L6" s="16"/>
      <c r="M6" s="11" t="s">
        <v>22</v>
      </c>
    </row>
    <row r="7" ht="29.25" customHeight="1">
      <c r="A7" s="17"/>
      <c r="B7" s="17"/>
      <c r="C7" s="11" t="s">
        <v>23</v>
      </c>
      <c r="D7" s="11" t="s">
        <v>24</v>
      </c>
      <c r="E7" s="11" t="s">
        <v>25</v>
      </c>
      <c r="F7" s="17"/>
      <c r="G7" s="17"/>
      <c r="H7" s="16"/>
      <c r="I7" s="17"/>
      <c r="J7" s="16"/>
      <c r="K7" s="17"/>
      <c r="L7" s="16"/>
      <c r="M7" s="17"/>
    </row>
    <row r="8" ht="26.25" customHeight="1">
      <c r="A8" s="18"/>
      <c r="B8" s="30">
        <f>Hoja8!A2</f>
        <v>46072</v>
      </c>
      <c r="C8" s="18"/>
      <c r="D8" s="18"/>
      <c r="E8" s="18"/>
      <c r="F8" s="18" t="str">
        <f>Hoja8!B2</f>
        <v>Villagrono Alfredus</v>
      </c>
      <c r="G8" s="19" t="str">
        <f>IFERROR(VLOOKUP(B8,Precios!D:E,2,0), "")</f>
        <v/>
      </c>
      <c r="H8" s="20"/>
      <c r="I8" s="21" t="str">
        <f t="shared" ref="I8:I33" si="1">IF(G8*F8=0, "",G8*F8)</f>
        <v>#VALUE!</v>
      </c>
      <c r="K8" s="22" t="str">
        <f t="shared" ref="K8:K30" si="2">(SUM($I$8:$I$33)*C8)/-100</f>
        <v>#VALUE!</v>
      </c>
      <c r="M8" s="24" t="str">
        <f t="shared" ref="M8:M33" si="3">IF(I8+K8=0, "",I8+K8)</f>
        <v>#VALUE!</v>
      </c>
    </row>
    <row r="9" ht="26.25" customHeight="1">
      <c r="A9" s="18"/>
      <c r="B9" s="18" t="str">
        <f>Hoja8!A3</f>
        <v>Instalación a altura h&lt;4mts con perfil C P/ BPC 100 a 300</v>
      </c>
      <c r="C9" s="18"/>
      <c r="D9" s="18"/>
      <c r="E9" s="18"/>
      <c r="F9" s="18">
        <f>Hoja8!B3</f>
        <v>1</v>
      </c>
      <c r="G9" s="25">
        <f>IFERROR(VLOOKUP(B9,Precios!D:E,2,0), "")</f>
        <v>51700</v>
      </c>
      <c r="H9" s="26"/>
      <c r="I9" s="22">
        <f t="shared" si="1"/>
        <v>51700</v>
      </c>
      <c r="K9" s="22" t="str">
        <f t="shared" si="2"/>
        <v>#VALUE!</v>
      </c>
      <c r="M9" s="27" t="str">
        <f t="shared" si="3"/>
        <v>#VALUE!</v>
      </c>
    </row>
    <row r="10" ht="26.25" customHeight="1">
      <c r="A10" s="18"/>
      <c r="B10" s="18" t="str">
        <f>Hoja8!A4</f>
        <v>Instalación a altura h&lt;4mts con perfil C P/ BPC 100 a 300</v>
      </c>
      <c r="C10" s="18"/>
      <c r="D10" s="18"/>
      <c r="E10" s="18"/>
      <c r="F10" s="18">
        <f>Hoja8!B4</f>
        <v>1</v>
      </c>
      <c r="G10" s="25">
        <f>IFERROR(VLOOKUP(B10,Precios!D:E,2,0), "")</f>
        <v>51700</v>
      </c>
      <c r="H10" s="26"/>
      <c r="I10" s="22">
        <f t="shared" si="1"/>
        <v>51700</v>
      </c>
      <c r="K10" s="22" t="str">
        <f t="shared" si="2"/>
        <v>#VALUE!</v>
      </c>
      <c r="M10" s="27" t="str">
        <f t="shared" si="3"/>
        <v>#VALUE!</v>
      </c>
    </row>
    <row r="11" ht="26.25" customHeight="1">
      <c r="A11" s="18"/>
      <c r="B11" s="18" t="str">
        <f>Hoja8!A5</f>
        <v>Instalación a altura h&lt;4mts con perfil C P/ BPC 100 a 300</v>
      </c>
      <c r="C11" s="18"/>
      <c r="D11" s="18" t="s">
        <v>24</v>
      </c>
      <c r="E11" s="18"/>
      <c r="F11" s="18">
        <f>Hoja8!B5</f>
        <v>1</v>
      </c>
      <c r="G11" s="25">
        <f>IFERROR(VLOOKUP(B11,Precios!D:E,2,0), "")</f>
        <v>51700</v>
      </c>
      <c r="H11" s="26"/>
      <c r="I11" s="22">
        <f t="shared" si="1"/>
        <v>51700</v>
      </c>
      <c r="K11" s="22" t="str">
        <f t="shared" si="2"/>
        <v>#VALUE!</v>
      </c>
      <c r="M11" s="27" t="str">
        <f t="shared" si="3"/>
        <v>#VALUE!</v>
      </c>
    </row>
    <row r="12" ht="26.25" customHeight="1">
      <c r="A12" s="18"/>
      <c r="B12" s="18" t="str">
        <f>Hoja8!A6</f>
        <v>Instalación a altura h&lt;4mts con perfil C P/ BPC 100 a 300</v>
      </c>
      <c r="C12" s="18"/>
      <c r="D12" s="18"/>
      <c r="E12" s="18"/>
      <c r="F12" s="18">
        <f>Hoja8!B6</f>
        <v>1</v>
      </c>
      <c r="G12" s="25">
        <f>IFERROR(VLOOKUP(B12,Precios!D:E,2,0), "")</f>
        <v>51700</v>
      </c>
      <c r="H12" s="26"/>
      <c r="I12" s="22">
        <f t="shared" si="1"/>
        <v>51700</v>
      </c>
      <c r="K12" s="22" t="str">
        <f t="shared" si="2"/>
        <v>#VALUE!</v>
      </c>
      <c r="M12" s="27" t="str">
        <f t="shared" si="3"/>
        <v>#VALUE!</v>
      </c>
    </row>
    <row r="13" ht="26.25" customHeight="1">
      <c r="A13" s="18"/>
      <c r="B13" s="18" t="str">
        <f>Hoja8!A7</f>
        <v>Instalación a altura h&lt;4mts con perfil C P/ BPC 100 a 300</v>
      </c>
      <c r="C13" s="18"/>
      <c r="D13" s="18"/>
      <c r="E13" s="18"/>
      <c r="F13" s="18">
        <f>Hoja8!B7</f>
        <v>1</v>
      </c>
      <c r="G13" s="25">
        <f>IFERROR(VLOOKUP(B13,Precios!D:E,2,0), "")</f>
        <v>51700</v>
      </c>
      <c r="H13" s="26"/>
      <c r="I13" s="22">
        <f t="shared" si="1"/>
        <v>51700</v>
      </c>
      <c r="K13" s="22" t="str">
        <f t="shared" si="2"/>
        <v>#VALUE!</v>
      </c>
      <c r="M13" s="27" t="str">
        <f t="shared" si="3"/>
        <v>#VALUE!</v>
      </c>
    </row>
    <row r="14" ht="26.25" customHeight="1">
      <c r="A14" s="18"/>
      <c r="B14" s="18" t="str">
        <f>Hoja8!A8</f>
        <v>Instalación a altura h&lt;4mts con perfil C P/ BPC 100 a 300</v>
      </c>
      <c r="C14" s="18"/>
      <c r="D14" s="18"/>
      <c r="E14" s="18"/>
      <c r="F14" s="18">
        <f>Hoja8!B8</f>
        <v>1</v>
      </c>
      <c r="G14" s="25">
        <f>IFERROR(VLOOKUP(B14,Precios!D:E,2,0), "")</f>
        <v>51700</v>
      </c>
      <c r="H14" s="26"/>
      <c r="I14" s="22">
        <f t="shared" si="1"/>
        <v>51700</v>
      </c>
      <c r="K14" s="22" t="str">
        <f t="shared" si="2"/>
        <v>#VALUE!</v>
      </c>
      <c r="M14" s="27" t="str">
        <f t="shared" si="3"/>
        <v>#VALUE!</v>
      </c>
    </row>
    <row r="15" ht="26.25" customHeight="1">
      <c r="A15" s="18"/>
      <c r="B15" s="18" t="str">
        <f>Hoja8!A9</f>
        <v>Certificacion de vivienda o local comercial (hasta 20bocas) no incluye adecuacion de la instalacion</v>
      </c>
      <c r="C15" s="18"/>
      <c r="D15" s="28"/>
      <c r="E15" s="18"/>
      <c r="F15" s="18">
        <f>Hoja8!B9</f>
        <v>-2</v>
      </c>
      <c r="G15" s="25" t="str">
        <f>IFERROR(VLOOKUP(B15,Precios!D:E,2,0), "")</f>
        <v/>
      </c>
      <c r="H15" s="26"/>
      <c r="I15" s="22" t="str">
        <f t="shared" si="1"/>
        <v/>
      </c>
      <c r="K15" s="22" t="str">
        <f t="shared" si="2"/>
        <v>#VALUE!</v>
      </c>
      <c r="M15" s="27" t="str">
        <f t="shared" si="3"/>
        <v>#VALUE!</v>
      </c>
    </row>
    <row r="16" ht="26.25" customHeight="1">
      <c r="A16" s="18"/>
      <c r="B16" s="18" t="str">
        <f>Hoja8!A10</f>
        <v>Certificacion de vivienda o local comercial (hasta 20bocas) no incluye adecuacion de la instalacion</v>
      </c>
      <c r="C16" s="18"/>
      <c r="D16" s="28"/>
      <c r="E16" s="18"/>
      <c r="F16" s="18">
        <f>Hoja8!B10</f>
        <v>-2</v>
      </c>
      <c r="G16" s="25" t="str">
        <f>IFERROR(VLOOKUP(B16,Precios!D:E,2,0), "")</f>
        <v/>
      </c>
      <c r="H16" s="26"/>
      <c r="I16" s="22" t="str">
        <f t="shared" si="1"/>
        <v/>
      </c>
      <c r="K16" s="22" t="str">
        <f t="shared" si="2"/>
        <v>#VALUE!</v>
      </c>
      <c r="M16" s="27" t="str">
        <f t="shared" si="3"/>
        <v>#VALUE!</v>
      </c>
    </row>
    <row r="17" ht="26.25" customHeight="1">
      <c r="A17" s="18"/>
      <c r="B17" s="18" t="str">
        <f>Hoja8!A11</f>
        <v>Certificacion de vivienda o local comercial (hasta 20bocas) no incluye adecuacion de la instalacion</v>
      </c>
      <c r="C17" s="18"/>
      <c r="D17" s="18"/>
      <c r="E17" s="18"/>
      <c r="F17" s="18">
        <f>Hoja8!B11</f>
        <v>-2</v>
      </c>
      <c r="G17" s="25" t="str">
        <f>IFERROR(VLOOKUP(B17,Precios!D:E,2,0), "")</f>
        <v/>
      </c>
      <c r="H17" s="26"/>
      <c r="I17" s="22" t="str">
        <f t="shared" si="1"/>
        <v/>
      </c>
      <c r="K17" s="22" t="str">
        <f t="shared" si="2"/>
        <v>#VALUE!</v>
      </c>
      <c r="M17" s="27" t="str">
        <f t="shared" si="3"/>
        <v>#VALUE!</v>
      </c>
    </row>
    <row r="18" ht="26.25" customHeight="1">
      <c r="A18" s="18"/>
      <c r="B18" s="18" t="str">
        <f>Hoja8!A12</f>
        <v>Certificacion de vivienda o local comercial (hasta 20bocas) no incluye adecuacion de la instalacion</v>
      </c>
      <c r="C18" s="18"/>
      <c r="D18" s="18"/>
      <c r="E18" s="18"/>
      <c r="F18" s="18">
        <f>Hoja8!B12</f>
        <v>-2</v>
      </c>
      <c r="G18" s="25" t="str">
        <f>IFERROR(VLOOKUP(B18,Precios!D:E,2,0), "")</f>
        <v/>
      </c>
      <c r="H18" s="26"/>
      <c r="I18" s="22" t="str">
        <f t="shared" si="1"/>
        <v/>
      </c>
      <c r="K18" s="22" t="str">
        <f t="shared" si="2"/>
        <v>#VALUE!</v>
      </c>
      <c r="M18" s="27" t="str">
        <f t="shared" si="3"/>
        <v>#VALUE!</v>
      </c>
    </row>
    <row r="19" ht="26.25" customHeight="1">
      <c r="A19" s="18"/>
      <c r="B19" s="18" t="str">
        <f>Hoja8!A13</f>
        <v>Certificacion de vivienda o local comercial (hasta 20bocas) no incluye adecuacion de la instalacion</v>
      </c>
      <c r="C19" s="18"/>
      <c r="D19" s="28"/>
      <c r="E19" s="18"/>
      <c r="F19" s="18">
        <f>Hoja8!B13</f>
        <v>-2</v>
      </c>
      <c r="G19" s="25" t="str">
        <f>IFERROR(VLOOKUP(B19,Precios!D:E,2,0), "")</f>
        <v/>
      </c>
      <c r="H19" s="26"/>
      <c r="I19" s="22" t="str">
        <f t="shared" si="1"/>
        <v/>
      </c>
      <c r="K19" s="22" t="str">
        <f t="shared" si="2"/>
        <v>#VALUE!</v>
      </c>
      <c r="M19" s="27" t="str">
        <f t="shared" si="3"/>
        <v>#VALUE!</v>
      </c>
    </row>
    <row r="20" ht="26.25" customHeight="1">
      <c r="A20" s="18"/>
      <c r="B20" s="18" t="str">
        <f>Hoja8!A14</f>
        <v>Certificacion de vivienda o local comercial (hasta 20bocas) no incluye adecuacion de la instalacion</v>
      </c>
      <c r="C20" s="18"/>
      <c r="D20" s="28"/>
      <c r="E20" s="18"/>
      <c r="F20" s="18">
        <f>Hoja8!B14</f>
        <v>-2</v>
      </c>
      <c r="G20" s="25" t="str">
        <f>IFERROR(VLOOKUP(B20,Precios!D:E,2,0), "")</f>
        <v/>
      </c>
      <c r="H20" s="26"/>
      <c r="I20" s="22" t="str">
        <f t="shared" si="1"/>
        <v/>
      </c>
      <c r="K20" s="22" t="str">
        <f t="shared" si="2"/>
        <v>#VALUE!</v>
      </c>
      <c r="M20" s="27" t="str">
        <f t="shared" si="3"/>
        <v>#VALUE!</v>
      </c>
    </row>
    <row r="21" ht="26.25" customHeight="1">
      <c r="A21" s="18"/>
      <c r="B21" s="18" t="str">
        <f>Hoja8!A15</f>
        <v>Certificacion de vivienda o local comercial (hasta 20bocas) no incluye adecuacion de la instalacion</v>
      </c>
      <c r="C21" s="18"/>
      <c r="D21" s="28"/>
      <c r="E21" s="18"/>
      <c r="F21" s="18">
        <f>Hoja8!B15</f>
        <v>-2</v>
      </c>
      <c r="G21" s="25" t="str">
        <f>IFERROR(VLOOKUP(B21,Precios!D:E,2,0), "")</f>
        <v/>
      </c>
      <c r="H21" s="26"/>
      <c r="I21" s="22" t="str">
        <f t="shared" si="1"/>
        <v/>
      </c>
      <c r="K21" s="22" t="str">
        <f t="shared" si="2"/>
        <v>#VALUE!</v>
      </c>
      <c r="M21" s="27" t="str">
        <f t="shared" si="3"/>
        <v>#VALUE!</v>
      </c>
    </row>
    <row r="22" ht="26.25" customHeight="1">
      <c r="A22" s="18"/>
      <c r="B22" s="18" t="str">
        <f>Hoja8!A16</f>
        <v>Certificacion de vivienda o local comercial (hasta 20bocas) no incluye adecuacion de la instalacion</v>
      </c>
      <c r="C22" s="18"/>
      <c r="D22" s="28"/>
      <c r="E22" s="18"/>
      <c r="F22" s="18">
        <f>Hoja8!B16</f>
        <v>-2</v>
      </c>
      <c r="G22" s="25" t="str">
        <f>IFERROR(VLOOKUP(B22,Precios!D:E,2,0), "")</f>
        <v/>
      </c>
      <c r="H22" s="26"/>
      <c r="I22" s="22" t="str">
        <f t="shared" si="1"/>
        <v/>
      </c>
      <c r="K22" s="22" t="str">
        <f t="shared" si="2"/>
        <v>#VALUE!</v>
      </c>
      <c r="M22" s="27" t="str">
        <f t="shared" si="3"/>
        <v>#VALUE!</v>
      </c>
    </row>
    <row r="23" ht="26.25" customHeight="1">
      <c r="A23" s="18"/>
      <c r="B23" s="18" t="str">
        <f>Hoja8!A17</f>
        <v>Certificacion de vivienda o local comercial (hasta 20bocas) no incluye adecuacion de la instalacion</v>
      </c>
      <c r="C23" s="18"/>
      <c r="D23" s="28"/>
      <c r="E23" s="18"/>
      <c r="F23" s="18">
        <f>Hoja8!B17</f>
        <v>-2</v>
      </c>
      <c r="G23" s="25" t="str">
        <f>IFERROR(VLOOKUP(B23,Precios!D:E,2,0), "")</f>
        <v/>
      </c>
      <c r="H23" s="26"/>
      <c r="I23" s="22" t="str">
        <f t="shared" si="1"/>
        <v/>
      </c>
      <c r="K23" s="22" t="str">
        <f t="shared" si="2"/>
        <v>#VALUE!</v>
      </c>
      <c r="M23" s="27" t="str">
        <f t="shared" si="3"/>
        <v>#VALUE!</v>
      </c>
    </row>
    <row r="24" ht="26.25" customHeight="1">
      <c r="A24" s="18"/>
      <c r="B24" s="18" t="str">
        <f>Hoja8!A18</f>
        <v>Certificacion de vivienda o local comercial (hasta 20bocas) no incluye adecuacion de la instalacion</v>
      </c>
      <c r="C24" s="18"/>
      <c r="D24" s="28"/>
      <c r="E24" s="18"/>
      <c r="F24" s="18">
        <f>Hoja8!B18</f>
        <v>-2</v>
      </c>
      <c r="G24" s="25" t="str">
        <f>IFERROR(VLOOKUP(B24,Precios!D:E,2,0), "")</f>
        <v/>
      </c>
      <c r="H24" s="26"/>
      <c r="I24" s="22" t="str">
        <f t="shared" si="1"/>
        <v/>
      </c>
      <c r="K24" s="22" t="str">
        <f t="shared" si="2"/>
        <v>#VALUE!</v>
      </c>
      <c r="M24" s="27" t="str">
        <f t="shared" si="3"/>
        <v>#VALUE!</v>
      </c>
    </row>
    <row r="25" ht="26.25" customHeight="1">
      <c r="A25" s="18"/>
      <c r="B25" s="18" t="str">
        <f>Hoja8!A19</f>
        <v>Certificacion de vivienda o local comercial (hasta 20bocas) no incluye adecuacion de la instalacion</v>
      </c>
      <c r="C25" s="18"/>
      <c r="D25" s="28"/>
      <c r="E25" s="18"/>
      <c r="F25" s="18">
        <f>Hoja8!B19</f>
        <v>-2</v>
      </c>
      <c r="G25" s="25" t="str">
        <f>IFERROR(VLOOKUP(B25,Precios!D:E,2,0), "")</f>
        <v/>
      </c>
      <c r="H25" s="26"/>
      <c r="I25" s="22" t="str">
        <f t="shared" si="1"/>
        <v/>
      </c>
      <c r="K25" s="22" t="str">
        <f t="shared" si="2"/>
        <v>#VALUE!</v>
      </c>
      <c r="M25" s="27" t="str">
        <f t="shared" si="3"/>
        <v>#VALUE!</v>
      </c>
    </row>
    <row r="26" ht="26.25" customHeight="1">
      <c r="A26" s="18"/>
      <c r="B26" s="18" t="str">
        <f>Hoja8!A20</f>
        <v>Certificacion de vivienda o local comercial (hasta 20bocas) no incluye adecuacion de la instalacion</v>
      </c>
      <c r="C26" s="18"/>
      <c r="D26" s="28"/>
      <c r="E26" s="18"/>
      <c r="F26" s="18">
        <f>Hoja8!B20</f>
        <v>-2</v>
      </c>
      <c r="G26" s="25" t="str">
        <f>IFERROR(VLOOKUP(B26,Precios!D:E,2,0), "")</f>
        <v/>
      </c>
      <c r="H26" s="26"/>
      <c r="I26" s="22" t="str">
        <f t="shared" si="1"/>
        <v/>
      </c>
      <c r="K26" s="22" t="str">
        <f t="shared" si="2"/>
        <v>#VALUE!</v>
      </c>
      <c r="M26" s="27" t="str">
        <f t="shared" si="3"/>
        <v>#VALUE!</v>
      </c>
    </row>
    <row r="27" ht="26.25" customHeight="1">
      <c r="A27" s="18"/>
      <c r="B27" s="18" t="str">
        <f>Hoja8!A21</f>
        <v>Certificacion de vivienda o local comercial (hasta 20bocas) no incluye adecuacion de la instalacion</v>
      </c>
      <c r="C27" s="18"/>
      <c r="D27" s="28"/>
      <c r="E27" s="18"/>
      <c r="F27" s="18">
        <f>Hoja8!B21</f>
        <v>-2</v>
      </c>
      <c r="G27" s="60" t="str">
        <f>Hoja8!C21</f>
        <v/>
      </c>
      <c r="H27" s="26"/>
      <c r="I27" s="22" t="str">
        <f t="shared" si="1"/>
        <v/>
      </c>
      <c r="K27" s="22" t="str">
        <f t="shared" si="2"/>
        <v>#VALUE!</v>
      </c>
      <c r="M27" s="27" t="str">
        <f t="shared" si="3"/>
        <v>#VALUE!</v>
      </c>
    </row>
    <row r="28" ht="26.25" customHeight="1">
      <c r="A28" s="18"/>
      <c r="B28" s="18" t="str">
        <f>Hoja8!A22</f>
        <v>Certificacion de vivienda o local comercial (hasta 20bocas) no incluye adecuacion de la instalacion</v>
      </c>
      <c r="C28" s="18"/>
      <c r="D28" s="18"/>
      <c r="E28" s="18"/>
      <c r="F28" s="18">
        <f>Hoja8!B22</f>
        <v>-2</v>
      </c>
      <c r="G28" s="60" t="str">
        <f>Hoja8!C22</f>
        <v/>
      </c>
      <c r="H28" s="26"/>
      <c r="I28" s="22" t="str">
        <f t="shared" si="1"/>
        <v/>
      </c>
      <c r="K28" s="22" t="str">
        <f t="shared" si="2"/>
        <v>#VALUE!</v>
      </c>
      <c r="M28" s="27" t="str">
        <f t="shared" si="3"/>
        <v>#VALUE!</v>
      </c>
    </row>
    <row r="29" ht="26.25" customHeight="1">
      <c r="A29" s="18" t="s">
        <v>34</v>
      </c>
      <c r="B29" s="18" t="str">
        <f>Hoja8!A23</f>
        <v>Certificacion de vivienda o local comercial (hasta 20bocas) no incluye adecuacion de la instalacion</v>
      </c>
      <c r="C29" s="18"/>
      <c r="D29" s="28"/>
      <c r="E29" s="18"/>
      <c r="F29" s="18">
        <f>Hoja8!B23</f>
        <v>-2</v>
      </c>
      <c r="G29" s="60" t="str">
        <f>Hoja8!C23</f>
        <v/>
      </c>
      <c r="H29" s="26"/>
      <c r="I29" s="22" t="str">
        <f t="shared" si="1"/>
        <v/>
      </c>
      <c r="K29" s="22" t="str">
        <f t="shared" si="2"/>
        <v>#VALUE!</v>
      </c>
      <c r="M29" s="27" t="str">
        <f t="shared" si="3"/>
        <v>#VALUE!</v>
      </c>
    </row>
    <row r="30" ht="26.25" customHeight="1">
      <c r="A30" s="18" t="s">
        <v>34</v>
      </c>
      <c r="B30" s="18" t="str">
        <f>Hoja8!A24</f>
        <v>Certificacion de vivienda o local comercial (hasta 20bocas) no incluye adecuacion de la instalacion</v>
      </c>
      <c r="C30" s="18"/>
      <c r="D30" s="18"/>
      <c r="E30" s="18"/>
      <c r="F30" s="18">
        <f>Hoja8!B24</f>
        <v>-2</v>
      </c>
      <c r="G30" s="60" t="str">
        <f>Hoja8!C24</f>
        <v/>
      </c>
      <c r="H30" s="32"/>
      <c r="I30" s="33" t="str">
        <f t="shared" si="1"/>
        <v/>
      </c>
      <c r="K30" s="22" t="str">
        <f t="shared" si="2"/>
        <v>#VALUE!</v>
      </c>
      <c r="M30" s="34" t="str">
        <f t="shared" si="3"/>
        <v>#VALUE!</v>
      </c>
    </row>
    <row r="31" ht="18.75" customHeight="1">
      <c r="G31" s="1" t="str">
        <f>IFERROR(VLOOKUP(B31,Precios!D:E,2,0), "")</f>
        <v/>
      </c>
      <c r="I31" s="1" t="str">
        <f t="shared" si="1"/>
        <v/>
      </c>
      <c r="M31" s="1" t="str">
        <f t="shared" si="3"/>
        <v/>
      </c>
    </row>
    <row r="32" ht="18.75" customHeight="1">
      <c r="G32" s="1" t="str">
        <f>IFERROR(VLOOKUP(B32,Precios!D:E,2,0), "")</f>
        <v/>
      </c>
      <c r="I32" s="1" t="str">
        <f t="shared" si="1"/>
        <v/>
      </c>
      <c r="M32" s="1" t="str">
        <f t="shared" si="3"/>
        <v/>
      </c>
    </row>
    <row r="33" ht="18.75" customHeight="1">
      <c r="G33" s="1" t="str">
        <f>IFERROR(VLOOKUP(B33,Precios!D:E,2,0), "")</f>
        <v/>
      </c>
      <c r="I33" s="1" t="str">
        <f t="shared" si="1"/>
        <v/>
      </c>
      <c r="M33" s="1" t="str">
        <f t="shared" si="3"/>
        <v/>
      </c>
    </row>
    <row r="34" ht="18.75" customHeight="1">
      <c r="K34" s="35" t="s">
        <v>37</v>
      </c>
      <c r="M34" s="35">
        <f>SUMIF(M8:M30,"&gt;0")</f>
        <v>0</v>
      </c>
    </row>
    <row r="35" ht="18.75" customHeight="1">
      <c r="K35" s="35" t="s">
        <v>38</v>
      </c>
      <c r="M35" s="35">
        <f>SUMIF(M8:M30,"&lt;0")</f>
        <v>0</v>
      </c>
    </row>
    <row r="36" ht="18.75" customHeight="1">
      <c r="A36" s="1"/>
      <c r="K36" s="35"/>
      <c r="L36" s="35"/>
      <c r="M36" s="35"/>
    </row>
    <row r="37" ht="18.75" customHeight="1">
      <c r="K37" s="35" t="s">
        <v>39</v>
      </c>
      <c r="M37" s="35">
        <f>SUM(M34,M35)</f>
        <v>0</v>
      </c>
    </row>
    <row r="38" ht="18.75" customHeight="1"/>
    <row r="39" ht="18.75" customHeight="1">
      <c r="H39" s="1"/>
      <c r="I39" s="1" t="s">
        <v>40</v>
      </c>
    </row>
    <row r="40" ht="18.75" customHeight="1"/>
    <row r="41" ht="18.75" customHeight="1">
      <c r="A41" s="1">
        <f>IFERROR(__xludf.DUMMYFUNCTION("IMPORTRANGE(""https://docs.google.com/spreadsheets/d/1aPynYCYBaEafPC4rqTulMOzPg_guy_NLzZHOzvFJwyw/edit?usp=drivesdk"", ""Respuestas de formulario 1!C5"")"),3.513559347E9)</f>
        <v>3513559347</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K6:K7"/>
    <mergeCell ref="K34:L34"/>
    <mergeCell ref="K35:L35"/>
    <mergeCell ref="K37:L37"/>
    <mergeCell ref="A6:A7"/>
    <mergeCell ref="B6:B7"/>
    <mergeCell ref="C6:E6"/>
    <mergeCell ref="F6:F7"/>
    <mergeCell ref="G6:G7"/>
    <mergeCell ref="I6:I7"/>
    <mergeCell ref="M6:M7"/>
  </mergeCells>
  <conditionalFormatting sqref="A19">
    <cfRule type="colorScale" priority="1">
      <colorScale>
        <cfvo type="min"/>
        <cfvo type="max"/>
        <color rgb="FF57BB8A"/>
        <color rgb="FFFFFFFF"/>
      </colorScale>
    </cfRule>
  </conditionalFormatting>
  <dataValidations>
    <dataValidation type="list" allowBlank="1" sqref="D8:D30">
      <formula1>"%,-"</formula1>
    </dataValidation>
    <dataValidation type="list" allowBlank="1" sqref="A8:A27">
      <formula1>Precios!$C2:$C41</formula1>
    </dataValidation>
    <dataValidation type="list" allowBlank="1" sqref="B3">
      <formula1>Clientes!B2:B200</formula1>
    </dataValidation>
    <dataValidation type="list" allowBlank="1" sqref="A30">
      <formula1>Precios!$C26:$C41</formula1>
    </dataValidation>
    <dataValidation type="list" allowBlank="1" sqref="A28">
      <formula1>Precios!$C23:$C41</formula1>
    </dataValidation>
    <dataValidation type="list" allowBlank="1" sqref="A29">
      <formula1>Precios!$C25:$C41</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c r="A1" s="1" t="str">
        <f>IFERROR(__xludf.DUMMYFUNCTION("FILTER(Precios!$D:$D,Carga!A8=Precios!$C:$C)"),"#N/A")</f>
        <v>#N/A</v>
      </c>
      <c r="B1" s="1" t="str">
        <f>IFERROR(__xludf.DUMMYFUNCTION("FILTER(Precios!$D:$D,Carga!A9=Precios!$C:$C)"),"#N/A")</f>
        <v>#N/A</v>
      </c>
      <c r="C1" s="1" t="str">
        <f>IFERROR(__xludf.DUMMYFUNCTION("FILTER(Precios!$D:$D,Carga!A10=Precios!$C:$C)"),"#N/A")</f>
        <v>#N/A</v>
      </c>
      <c r="D1" s="1" t="str">
        <f>IFERROR(__xludf.DUMMYFUNCTION("FILTER(Precios!$D:$D,Carga!A11=Precios!$C:$C)"),"#N/A")</f>
        <v>#N/A</v>
      </c>
      <c r="E1" s="1" t="str">
        <f>IFERROR(__xludf.DUMMYFUNCTION("FILTER(Precios!$D:$D,Carga!A12=Precios!$C:$C)"),"")</f>
        <v/>
      </c>
      <c r="F1" s="1" t="str">
        <f>IFERROR(__xludf.DUMMYFUNCTION("FILTER(Precios!$D:$D,Carga!A13=Precios!$C:$C)"),"")</f>
        <v/>
      </c>
      <c r="G1" s="1" t="str">
        <f>IFERROR(__xludf.DUMMYFUNCTION("FILTER(Precios!$D:$D,Carga!A14=Precios!$C:$C)"),"")</f>
        <v/>
      </c>
      <c r="H1" s="1" t="str">
        <f>IFERROR(__xludf.DUMMYFUNCTION("FILTER(Precios!$D:$D,Carga!A15=Precios!$C:$C)"),"")</f>
        <v/>
      </c>
      <c r="I1" s="1" t="str">
        <f>IFERROR(__xludf.DUMMYFUNCTION("FILTER(Precios!$D:$D,Carga!A16=Precios!$C:$C)"),"")</f>
        <v/>
      </c>
      <c r="J1" s="1" t="str">
        <f>IFERROR(__xludf.DUMMYFUNCTION("FILTER(Precios!$D:$D,Carga!A17=Precios!$C:$C)"),"")</f>
        <v/>
      </c>
      <c r="K1" s="1" t="str">
        <f>IFERROR(__xludf.DUMMYFUNCTION("FILTER(Precios!$D:$D,Carga!A18=Precios!$C:$C)"),"")</f>
        <v/>
      </c>
      <c r="L1" s="1" t="str">
        <f>IFERROR(__xludf.DUMMYFUNCTION("FILTER(Precios!$D:$D,Carga!A19=Precios!$C:$C)"),"")</f>
        <v/>
      </c>
      <c r="M1" s="1" t="str">
        <f>IFERROR(__xludf.DUMMYFUNCTION("FILTER(Precios!$D:$D,Carga!A20=Precios!$C:$C)"),"")</f>
        <v/>
      </c>
      <c r="N1" s="1" t="str">
        <f>IFERROR(__xludf.DUMMYFUNCTION("FILTER(Precios!$D:$D,Carga!A21=Precios!$C:$C)"),"")</f>
        <v/>
      </c>
      <c r="O1" s="1" t="str">
        <f>IFERROR(__xludf.DUMMYFUNCTION("FILTER(Precios!$D:$D,Carga!A22=Precios!$C:$C)"),"")</f>
        <v/>
      </c>
      <c r="P1" s="1" t="str">
        <f>IFERROR(__xludf.DUMMYFUNCTION("FILTER(Precios!$D:$D,Carga!A23=Precios!$C:$C)"),"")</f>
        <v/>
      </c>
      <c r="Q1" s="1" t="str">
        <f>IFERROR(__xludf.DUMMYFUNCTION("FILTER(Precios!$D:$D,Carga!A24=Precios!$C:$C)"),"")</f>
        <v/>
      </c>
      <c r="R1" s="1" t="str">
        <f>IFERROR(__xludf.DUMMYFUNCTION("FILTER(Precios!$D:$D,Carga!A25=Precios!$C:$C)"),"")</f>
        <v/>
      </c>
      <c r="S1" s="1" t="str">
        <f>IFERROR(__xludf.DUMMYFUNCTION("FILTER(Precios!$D:$D,Carga!A26=Precios!$C:$C)"),"")</f>
        <v/>
      </c>
      <c r="T1" s="1" t="str">
        <f>IFERROR(__xludf.DUMMYFUNCTION("FILTER(Precios!$D:$D,Carga!A27=Precios!$C:$C)"),"")</f>
        <v/>
      </c>
      <c r="U1" s="1" t="str">
        <f>IFERROR(__xludf.DUMMYFUNCTION("FILTER(Precios!$D:$D,Carga!A28=Precios!$C:$C)"),"")</f>
        <v/>
      </c>
      <c r="V1" s="1" t="str">
        <f>IFERROR(__xludf.DUMMYFUNCTION("FILTER(Precios!$D:$D,Carga!A29=Precios!$C:$C)"),"Acometida Monofásica aérea, con sistema doble aislación")</f>
        <v>Acometida Monofásica aérea, con sistema doble aislación</v>
      </c>
      <c r="W1" s="1" t="str">
        <f>IFERROR(__xludf.DUMMYFUNCTION("FILTER(Precios!$D:$D,Carga!A30=Precios!$C:$C)"),"Acometida Monofásica aérea, con sistema doble aislación")</f>
        <v>Acometida Monofásica aérea, con sistema doble aislación</v>
      </c>
    </row>
    <row r="2">
      <c r="E2" s="1"/>
      <c r="F2" s="1"/>
      <c r="G2" s="1"/>
      <c r="H2" s="1"/>
      <c r="I2" s="1"/>
      <c r="J2" s="1"/>
      <c r="K2" s="1"/>
      <c r="L2" s="1"/>
      <c r="M2" s="1"/>
      <c r="N2" s="1"/>
      <c r="O2" s="1"/>
      <c r="P2" s="1"/>
      <c r="Q2" s="1"/>
      <c r="R2" s="1"/>
      <c r="S2" s="1"/>
      <c r="T2" s="1"/>
      <c r="U2" s="1"/>
      <c r="V2" s="1" t="str">
        <f>IFERROR(__xludf.DUMMYFUNCTION("""COMPUTED_VALUE"""),"Acometida Trifásica aérea, hasta 10kw con sistema doble aislación")</f>
        <v>Acometida Trifásica aérea, hasta 10kw con sistema doble aislación</v>
      </c>
      <c r="W2" s="1" t="str">
        <f>IFERROR(__xludf.DUMMYFUNCTION("""COMPUTED_VALUE"""),"Acometida Trifásica aérea, hasta 10kw con sistema doble aislación")</f>
        <v>Acometida Trifásica aérea, hasta 10kw con sistema doble aislación</v>
      </c>
    </row>
    <row r="3">
      <c r="E3" s="1"/>
      <c r="F3" s="1"/>
      <c r="G3" s="1"/>
      <c r="H3" s="1"/>
      <c r="I3" s="1"/>
      <c r="J3" s="1"/>
      <c r="K3" s="1"/>
      <c r="L3" s="1"/>
      <c r="M3" s="1"/>
      <c r="N3" s="1"/>
      <c r="O3" s="1"/>
      <c r="P3" s="1"/>
      <c r="Q3" s="1"/>
      <c r="R3" s="1"/>
      <c r="S3" s="1"/>
      <c r="T3" s="1"/>
      <c r="U3" s="1"/>
      <c r="V3" s="1" t="str">
        <f>IFERROR(__xludf.DUMMYFUNCTION("""COMPUTED_VALUE"""),"Acometida subterránea, hasta 10kw con sistema doble aislación")</f>
        <v>Acometida subterránea, hasta 10kw con sistema doble aislación</v>
      </c>
      <c r="W3" s="1" t="str">
        <f>IFERROR(__xludf.DUMMYFUNCTION("""COMPUTED_VALUE"""),"Acometida subterránea, hasta 10kw con sistema doble aislación")</f>
        <v>Acometida subterránea, hasta 10kw con sistema doble aislación</v>
      </c>
    </row>
    <row r="4">
      <c r="E4" s="1"/>
      <c r="F4" s="1"/>
      <c r="G4" s="1"/>
      <c r="H4" s="1"/>
      <c r="I4" s="1"/>
      <c r="J4" s="1"/>
      <c r="K4" s="1"/>
      <c r="L4" s="1"/>
      <c r="M4" s="1"/>
      <c r="N4" s="1"/>
      <c r="O4" s="1"/>
      <c r="P4" s="1"/>
      <c r="Q4" s="1"/>
      <c r="R4" s="1"/>
      <c r="S4" s="1"/>
      <c r="T4" s="1"/>
      <c r="U4" s="1"/>
      <c r="V4" s="1" t="str">
        <f>IFERROR(__xludf.DUMMYFUNCTION("""COMPUTED_VALUE"""),"Acometida Trifásica de 11 a 35kw")</f>
        <v>Acometida Trifásica de 11 a 35kw</v>
      </c>
      <c r="W4" s="1" t="str">
        <f>IFERROR(__xludf.DUMMYFUNCTION("""COMPUTED_VALUE"""),"Acometida Trifásica de 11 a 35kw")</f>
        <v>Acometida Trifásica de 11 a 35kw</v>
      </c>
    </row>
    <row r="5">
      <c r="E5" s="1"/>
      <c r="F5" s="1"/>
      <c r="G5" s="1"/>
      <c r="H5" s="1"/>
      <c r="I5" s="1"/>
      <c r="J5" s="1"/>
      <c r="K5" s="1"/>
      <c r="L5" s="1"/>
      <c r="M5" s="1"/>
      <c r="N5" s="1"/>
      <c r="O5" s="1"/>
      <c r="P5" s="1"/>
      <c r="Q5" s="1"/>
      <c r="R5" s="1"/>
      <c r="S5" s="1"/>
      <c r="T5" s="1"/>
      <c r="U5" s="1"/>
      <c r="V5" s="1" t="str">
        <f>IFERROR(__xludf.DUMMYFUNCTION("""COMPUTED_VALUE"""),"Acometida Trifásica de 36 a 50kw")</f>
        <v>Acometida Trifásica de 36 a 50kw</v>
      </c>
      <c r="W5" s="1" t="str">
        <f>IFERROR(__xludf.DUMMYFUNCTION("""COMPUTED_VALUE"""),"Acometida Trifásica de 36 a 50kw")</f>
        <v>Acometida Trifásica de 36 a 50kw</v>
      </c>
    </row>
    <row r="6">
      <c r="E6" s="1"/>
      <c r="F6" s="1"/>
      <c r="G6" s="1"/>
      <c r="H6" s="1"/>
      <c r="I6" s="1"/>
      <c r="J6" s="1"/>
      <c r="K6" s="1"/>
      <c r="L6" s="1"/>
      <c r="M6" s="1"/>
      <c r="N6" s="1"/>
      <c r="O6" s="1"/>
      <c r="P6" s="1"/>
      <c r="Q6" s="1"/>
      <c r="R6" s="1"/>
      <c r="S6" s="1"/>
      <c r="T6" s="1"/>
      <c r="U6" s="1"/>
      <c r="V6" s="1" t="str">
        <f>IFERROR(__xludf.DUMMYFUNCTION("""COMPUTED_VALUE"""),"Acometida Trifásica mas de 50kw")</f>
        <v>Acometida Trifásica mas de 50kw</v>
      </c>
      <c r="W6" s="1" t="str">
        <f>IFERROR(__xludf.DUMMYFUNCTION("""COMPUTED_VALUE"""),"Acometida Trifásica mas de 50kw")</f>
        <v>Acometida Trifásica mas de 50kw</v>
      </c>
    </row>
    <row r="7">
      <c r="E7" s="1"/>
      <c r="F7" s="1"/>
      <c r="G7" s="1"/>
      <c r="H7" s="1"/>
      <c r="I7" s="1"/>
      <c r="J7" s="1"/>
      <c r="K7" s="1"/>
      <c r="L7" s="1"/>
      <c r="M7" s="1"/>
      <c r="N7" s="1"/>
      <c r="O7" s="1"/>
      <c r="P7" s="1"/>
      <c r="Q7" s="1"/>
      <c r="R7" s="1"/>
      <c r="S7" s="1"/>
      <c r="T7" s="1"/>
      <c r="U7" s="1"/>
      <c r="V7" s="1" t="str">
        <f>IFERROR(__xludf.DUMMYFUNCTION("""COMPUTED_VALUE"""),"Fijación tablero de superficie (hasta 54 bocas)")</f>
        <v>Fijación tablero de superficie (hasta 54 bocas)</v>
      </c>
      <c r="W7" s="1" t="str">
        <f>IFERROR(__xludf.DUMMYFUNCTION("""COMPUTED_VALUE"""),"Fijación tablero de superficie (hasta 54 bocas)")</f>
        <v>Fijación tablero de superficie (hasta 54 bocas)</v>
      </c>
    </row>
    <row r="8">
      <c r="E8" s="1"/>
      <c r="F8" s="1"/>
      <c r="G8" s="1"/>
      <c r="H8" s="1"/>
      <c r="I8" s="1"/>
      <c r="J8" s="1"/>
      <c r="K8" s="1"/>
      <c r="L8" s="1"/>
      <c r="M8" s="1"/>
      <c r="N8" s="1"/>
      <c r="O8" s="1"/>
      <c r="P8" s="1"/>
      <c r="Q8" s="1"/>
      <c r="R8" s="1"/>
      <c r="S8" s="1"/>
      <c r="T8" s="1"/>
      <c r="U8" s="1"/>
      <c r="V8" s="1" t="str">
        <f>IFERROR(__xludf.DUMMYFUNCTION("""COMPUTED_VALUE"""),"Fijación tablero de superficie")</f>
        <v>Fijación tablero de superficie</v>
      </c>
      <c r="W8" s="1" t="str">
        <f>IFERROR(__xludf.DUMMYFUNCTION("""COMPUTED_VALUE"""),"Fijación tablero de superficie")</f>
        <v>Fijación tablero de superficie</v>
      </c>
    </row>
    <row r="9">
      <c r="E9" s="1"/>
      <c r="F9" s="1"/>
      <c r="G9" s="1"/>
      <c r="H9" s="1"/>
      <c r="I9" s="1"/>
      <c r="J9" s="1"/>
      <c r="K9" s="1"/>
      <c r="L9" s="1"/>
      <c r="M9" s="1"/>
      <c r="N9" s="1"/>
      <c r="O9" s="1"/>
      <c r="P9" s="1"/>
      <c r="Q9" s="1"/>
      <c r="R9" s="1"/>
      <c r="S9" s="1"/>
      <c r="T9" s="1"/>
      <c r="U9" s="1"/>
      <c r="V9" s="1" t="str">
        <f>IFERROR(__xludf.DUMMYFUNCTION("""COMPUTED_VALUE"""),"Empotrado de gabinete en mampostería (de 1 a 24 bocas)")</f>
        <v>Empotrado de gabinete en mampostería (de 1 a 24 bocas)</v>
      </c>
      <c r="W9" s="1" t="str">
        <f>IFERROR(__xludf.DUMMYFUNCTION("""COMPUTED_VALUE"""),"Empotrado de gabinete en mampostería (de 1 a 24 bocas)")</f>
        <v>Empotrado de gabinete en mampostería (de 1 a 24 bocas)</v>
      </c>
    </row>
    <row r="10">
      <c r="E10" s="1"/>
      <c r="F10" s="1"/>
      <c r="G10" s="1"/>
      <c r="H10" s="1"/>
      <c r="I10" s="1"/>
      <c r="J10" s="1"/>
      <c r="K10" s="1"/>
      <c r="L10" s="1"/>
      <c r="M10" s="1"/>
      <c r="N10" s="1"/>
      <c r="O10" s="1"/>
      <c r="P10" s="1"/>
      <c r="Q10" s="1"/>
      <c r="R10" s="1"/>
      <c r="S10" s="1"/>
      <c r="T10" s="1"/>
      <c r="U10" s="1"/>
      <c r="V10" s="1" t="str">
        <f>IFERROR(__xludf.DUMMYFUNCTION("""COMPUTED_VALUE"""),"Empotrado / Fijación de gabinete en mampostería")</f>
        <v>Empotrado / Fijación de gabinete en mampostería</v>
      </c>
      <c r="W10" s="1" t="str">
        <f>IFERROR(__xludf.DUMMYFUNCTION("""COMPUTED_VALUE"""),"Empotrado / Fijación de gabinete en mampostería")</f>
        <v>Empotrado / Fijación de gabinete en mampostería</v>
      </c>
    </row>
    <row r="11">
      <c r="E11" s="1"/>
      <c r="F11" s="1"/>
      <c r="G11" s="1"/>
      <c r="H11" s="1"/>
      <c r="I11" s="1"/>
      <c r="J11" s="1"/>
      <c r="K11" s="1"/>
      <c r="L11" s="1"/>
      <c r="M11" s="1"/>
      <c r="N11" s="1"/>
      <c r="O11" s="1"/>
      <c r="P11" s="1"/>
      <c r="Q11" s="1"/>
      <c r="R11" s="1"/>
      <c r="S11" s="1"/>
      <c r="T11" s="1"/>
      <c r="U11" s="1"/>
      <c r="V11" s="1" t="str">
        <f>IFERROR(__xludf.DUMMYFUNCTION("""COMPUTED_VALUE"""),"Empotrado de gabinete en mampostería (de 25 a 54 bocas)")</f>
        <v>Empotrado de gabinete en mampostería (de 25 a 54 bocas)</v>
      </c>
      <c r="W11" s="1" t="str">
        <f>IFERROR(__xludf.DUMMYFUNCTION("""COMPUTED_VALUE"""),"Empotrado de gabinete en mampostería (de 25 a 54 bocas)")</f>
        <v>Empotrado de gabinete en mampostería (de 25 a 54 bocas)</v>
      </c>
    </row>
    <row r="12">
      <c r="E12" s="1"/>
      <c r="F12" s="1"/>
      <c r="G12" s="1"/>
      <c r="H12" s="1"/>
      <c r="I12" s="1"/>
      <c r="J12" s="1"/>
      <c r="K12" s="1"/>
      <c r="L12" s="1"/>
      <c r="M12" s="1"/>
      <c r="N12" s="1"/>
      <c r="O12" s="1"/>
      <c r="P12" s="1"/>
      <c r="Q12" s="1"/>
      <c r="R12" s="1"/>
      <c r="S12" s="1"/>
      <c r="T12" s="1"/>
      <c r="U12" s="1"/>
      <c r="V12" s="1" t="str">
        <f>IFERROR(__xludf.DUMMYFUNCTION("""COMPUTED_VALUE"""),"Armado de tablero de obra")</f>
        <v>Armado de tablero de obra</v>
      </c>
      <c r="W12" s="1" t="str">
        <f>IFERROR(__xludf.DUMMYFUNCTION("""COMPUTED_VALUE"""),"Armado de tablero de obra")</f>
        <v>Armado de tablero de obra</v>
      </c>
    </row>
    <row r="13">
      <c r="E13" s="1"/>
      <c r="F13" s="1"/>
      <c r="G13" s="1"/>
      <c r="H13" s="1"/>
      <c r="I13" s="1"/>
      <c r="J13" s="1"/>
      <c r="K13" s="1"/>
      <c r="L13" s="1"/>
      <c r="M13" s="1"/>
      <c r="N13" s="1"/>
      <c r="O13" s="1"/>
      <c r="P13" s="1"/>
      <c r="Q13" s="1"/>
      <c r="R13" s="1"/>
      <c r="S13" s="1"/>
      <c r="T13" s="1"/>
      <c r="U13" s="1"/>
      <c r="V13" s="1" t="str">
        <f>IFERROR(__xludf.DUMMYFUNCTION("""COMPUTED_VALUE"""),"Zanjeo x metro ( 25 x 80cm) mas tendido de cable subterraneo hasta 4x10mm y relleno con protecciones mecánicas para longitudes de cable menor a 10 metros")</f>
        <v>Zanjeo x metro ( 25 x 80cm) mas tendido de cable subterraneo hasta 4x10mm y relleno con protecciones mecánicas para longitudes de cable menor a 10 metros</v>
      </c>
      <c r="W13" s="1" t="str">
        <f>IFERROR(__xludf.DUMMYFUNCTION("""COMPUTED_VALUE"""),"Zanjeo x metro ( 25 x 80cm) mas tendido de cable subterraneo hasta 4x10mm y relleno con protecciones mecánicas para longitudes de cable menor a 10 metros")</f>
        <v>Zanjeo x metro ( 25 x 80cm) mas tendido de cable subterraneo hasta 4x10mm y relleno con protecciones mecánicas para longitudes de cable menor a 10 metros</v>
      </c>
    </row>
    <row r="14">
      <c r="E14" s="1"/>
      <c r="F14" s="1"/>
      <c r="G14" s="1"/>
      <c r="H14" s="1"/>
      <c r="I14" s="1"/>
      <c r="J14" s="1"/>
      <c r="K14" s="1"/>
      <c r="L14" s="1"/>
      <c r="M14" s="1"/>
      <c r="N14" s="1"/>
      <c r="O14" s="1"/>
      <c r="P14" s="1"/>
      <c r="Q14" s="1"/>
      <c r="R14" s="1"/>
      <c r="S14" s="1"/>
      <c r="T14" s="1"/>
      <c r="U14" s="1"/>
      <c r="V14" s="1" t="str">
        <f>IFERROR(__xludf.DUMMYFUNCTION("""COMPUTED_VALUE"""),"Zanjeo x metro ( 25 x 80cm) mas tendido de cable subterraneo hasta 4x10mm y relleno con protecciones mecánicas para longitudes de cable mayor a 10 metros")</f>
        <v>Zanjeo x metro ( 25 x 80cm) mas tendido de cable subterraneo hasta 4x10mm y relleno con protecciones mecánicas para longitudes de cable mayor a 10 metros</v>
      </c>
      <c r="W14" s="1" t="str">
        <f>IFERROR(__xludf.DUMMYFUNCTION("""COMPUTED_VALUE"""),"Zanjeo x metro ( 25 x 80cm) mas tendido de cable subterraneo hasta 4x10mm y relleno con protecciones mecánicas para longitudes de cable mayor a 10 metros")</f>
        <v>Zanjeo x metro ( 25 x 80cm) mas tendido de cable subterraneo hasta 4x10mm y relleno con protecciones mecánicas para longitudes de cable mayor a 10 metros</v>
      </c>
    </row>
    <row r="15">
      <c r="E15" s="1"/>
      <c r="F15" s="1"/>
      <c r="G15" s="1"/>
      <c r="H15" s="1"/>
      <c r="I15" s="1"/>
      <c r="J15" s="1"/>
      <c r="K15" s="1"/>
      <c r="L15" s="1"/>
      <c r="M15" s="1"/>
      <c r="N15" s="1"/>
      <c r="O15" s="1"/>
      <c r="P15" s="1"/>
      <c r="Q15" s="1"/>
      <c r="R15" s="1"/>
      <c r="S15" s="1"/>
      <c r="T15" s="1"/>
      <c r="U15" s="1"/>
      <c r="V15" s="1" t="str">
        <f>IFERROR(__xludf.DUMMYFUNCTION("""COMPUTED_VALUE"""),"Puesta a tierra: jabalina+caja de inspección")</f>
        <v>Puesta a tierra: jabalina+caja de inspección</v>
      </c>
      <c r="W15" s="1" t="str">
        <f>IFERROR(__xludf.DUMMYFUNCTION("""COMPUTED_VALUE"""),"Puesta a tierra: jabalina+caja de inspección")</f>
        <v>Puesta a tierra: jabalina+caja de inspección</v>
      </c>
    </row>
    <row r="16">
      <c r="E16" s="1"/>
      <c r="F16" s="1"/>
      <c r="G16" s="1"/>
      <c r="H16" s="1"/>
      <c r="I16" s="1"/>
      <c r="J16" s="1"/>
      <c r="K16" s="1"/>
      <c r="L16" s="1"/>
      <c r="M16" s="1"/>
      <c r="N16" s="1"/>
      <c r="O16" s="1"/>
      <c r="P16" s="1"/>
      <c r="Q16" s="1"/>
      <c r="R16" s="1"/>
      <c r="S16" s="1"/>
      <c r="T16" s="1"/>
      <c r="U16" s="1"/>
    </row>
    <row r="17">
      <c r="E17" s="1"/>
      <c r="F17" s="1"/>
      <c r="G17" s="1"/>
      <c r="H17" s="1"/>
      <c r="I17" s="1"/>
      <c r="J17" s="1"/>
      <c r="K17" s="1"/>
      <c r="L17" s="1"/>
      <c r="M17" s="1"/>
      <c r="N17" s="1"/>
      <c r="O17" s="1"/>
      <c r="P17" s="1"/>
      <c r="Q17" s="1"/>
      <c r="R17" s="1"/>
      <c r="S17" s="1"/>
      <c r="T17" s="1"/>
      <c r="U17" s="1"/>
    </row>
    <row r="18">
      <c r="E18" s="1"/>
      <c r="F18" s="1"/>
      <c r="G18" s="1"/>
      <c r="H18" s="1"/>
      <c r="I18" s="1"/>
      <c r="J18" s="1"/>
      <c r="K18" s="1"/>
      <c r="L18" s="1"/>
      <c r="M18" s="1"/>
      <c r="N18" s="1"/>
      <c r="O18" s="1"/>
      <c r="P18" s="1"/>
      <c r="Q18" s="1"/>
      <c r="R18" s="1"/>
      <c r="S18" s="1"/>
      <c r="T18" s="1"/>
      <c r="U18" s="1"/>
    </row>
    <row r="19">
      <c r="E19" s="1"/>
      <c r="F19" s="1"/>
      <c r="G19" s="1"/>
      <c r="H19" s="1"/>
      <c r="I19" s="1"/>
      <c r="J19" s="1"/>
      <c r="K19" s="1"/>
      <c r="L19" s="1"/>
      <c r="M19" s="1"/>
      <c r="N19" s="1"/>
      <c r="O19" s="1"/>
      <c r="P19" s="1"/>
      <c r="Q19" s="1"/>
      <c r="R19" s="1"/>
      <c r="S19" s="1"/>
      <c r="T19" s="1"/>
      <c r="U19" s="1"/>
    </row>
    <row r="20">
      <c r="E20" s="1"/>
      <c r="F20" s="1"/>
      <c r="G20" s="1"/>
      <c r="H20" s="1"/>
      <c r="I20" s="1"/>
      <c r="J20" s="1"/>
      <c r="K20" s="1"/>
      <c r="L20" s="1"/>
      <c r="M20" s="1"/>
      <c r="N20" s="1"/>
      <c r="O20" s="1"/>
      <c r="P20" s="1"/>
      <c r="Q20" s="1"/>
      <c r="R20" s="1"/>
      <c r="S20" s="1"/>
      <c r="T20" s="1"/>
      <c r="U20" s="1"/>
    </row>
    <row r="21" ht="15.75" customHeight="1">
      <c r="E21" s="1"/>
      <c r="F21" s="1"/>
      <c r="G21" s="1"/>
      <c r="H21" s="1"/>
      <c r="I21" s="1"/>
      <c r="J21" s="1"/>
      <c r="K21" s="1"/>
      <c r="L21" s="1"/>
      <c r="M21" s="1"/>
      <c r="N21" s="1"/>
      <c r="O21" s="1"/>
      <c r="P21" s="1"/>
      <c r="Q21" s="1"/>
      <c r="R21" s="1"/>
      <c r="S21" s="1"/>
      <c r="T21" s="1"/>
      <c r="U21" s="1"/>
    </row>
    <row r="22" ht="15.75" customHeight="1">
      <c r="E22" s="1"/>
      <c r="F22" s="1"/>
      <c r="G22" s="1"/>
      <c r="H22" s="1"/>
      <c r="I22" s="1"/>
      <c r="J22" s="1"/>
      <c r="K22" s="1"/>
      <c r="L22" s="1"/>
      <c r="M22" s="1"/>
      <c r="N22" s="1"/>
      <c r="O22" s="1"/>
      <c r="P22" s="1"/>
      <c r="Q22" s="1"/>
      <c r="R22" s="1"/>
      <c r="S22" s="1"/>
      <c r="T22" s="1"/>
      <c r="U22" s="1"/>
    </row>
    <row r="23" ht="15.75" customHeight="1">
      <c r="E23" s="1"/>
      <c r="F23" s="1"/>
      <c r="G23" s="1"/>
      <c r="H23" s="1"/>
      <c r="I23" s="1"/>
      <c r="J23" s="1"/>
      <c r="K23" s="1"/>
      <c r="L23" s="1"/>
      <c r="M23" s="1"/>
      <c r="N23" s="1"/>
      <c r="O23" s="1"/>
      <c r="P23" s="1"/>
      <c r="Q23" s="1"/>
      <c r="R23" s="1"/>
      <c r="S23" s="1"/>
      <c r="T23" s="1"/>
      <c r="U23" s="1"/>
    </row>
    <row r="24" ht="15.75" customHeight="1">
      <c r="E24" s="1"/>
      <c r="F24" s="1"/>
      <c r="G24" s="1"/>
      <c r="H24" s="1"/>
      <c r="I24" s="1"/>
      <c r="J24" s="1"/>
      <c r="K24" s="1"/>
      <c r="L24" s="1"/>
      <c r="M24" s="1"/>
      <c r="N24" s="1"/>
      <c r="O24" s="1"/>
      <c r="P24" s="1"/>
      <c r="Q24" s="1"/>
      <c r="R24" s="1"/>
      <c r="S24" s="1"/>
      <c r="T24" s="1"/>
      <c r="U24" s="1"/>
    </row>
    <row r="25" ht="15.75" customHeight="1">
      <c r="E25" s="1"/>
      <c r="F25" s="1"/>
      <c r="G25" s="1"/>
      <c r="H25" s="1"/>
      <c r="I25" s="1"/>
      <c r="J25" s="1"/>
      <c r="K25" s="1"/>
      <c r="L25" s="1"/>
      <c r="M25" s="1"/>
      <c r="N25" s="1"/>
      <c r="O25" s="1"/>
      <c r="P25" s="1"/>
      <c r="Q25" s="1"/>
      <c r="R25" s="1"/>
      <c r="S25" s="1"/>
      <c r="T25" s="1"/>
      <c r="U25" s="1"/>
    </row>
    <row r="26" ht="15.75" customHeight="1">
      <c r="E26" s="1"/>
      <c r="F26" s="1"/>
      <c r="G26" s="1"/>
      <c r="H26" s="1"/>
      <c r="I26" s="1"/>
      <c r="J26" s="1"/>
      <c r="K26" s="1"/>
      <c r="L26" s="1"/>
      <c r="M26" s="1"/>
      <c r="N26" s="1"/>
      <c r="O26" s="1"/>
      <c r="P26" s="1"/>
      <c r="Q26" s="1"/>
      <c r="R26" s="1"/>
      <c r="S26" s="1"/>
      <c r="T26" s="1"/>
      <c r="U26" s="1"/>
    </row>
    <row r="27" ht="15.75" customHeight="1">
      <c r="E27" s="1"/>
      <c r="F27" s="1"/>
      <c r="G27" s="1"/>
      <c r="H27" s="1"/>
      <c r="I27" s="1"/>
      <c r="J27" s="1"/>
      <c r="K27" s="1"/>
      <c r="L27" s="1"/>
      <c r="M27" s="1"/>
      <c r="N27" s="1"/>
      <c r="O27" s="1"/>
      <c r="P27" s="1"/>
      <c r="Q27" s="1"/>
      <c r="R27" s="1"/>
      <c r="S27" s="1"/>
      <c r="T27" s="1"/>
      <c r="U27" s="1"/>
    </row>
    <row r="28" ht="15.75" customHeight="1">
      <c r="E28" s="1"/>
      <c r="F28" s="1"/>
      <c r="G28" s="1"/>
      <c r="H28" s="1"/>
      <c r="I28" s="1"/>
      <c r="J28" s="1"/>
      <c r="K28" s="1"/>
      <c r="L28" s="1"/>
      <c r="M28" s="1"/>
      <c r="N28" s="1"/>
      <c r="O28" s="1"/>
      <c r="P28" s="1"/>
      <c r="Q28" s="1"/>
      <c r="R28" s="1"/>
      <c r="S28" s="1"/>
      <c r="T28" s="1"/>
      <c r="U28" s="1"/>
    </row>
    <row r="29" ht="15.75" customHeight="1">
      <c r="E29" s="1"/>
      <c r="F29" s="1"/>
      <c r="G29" s="1"/>
      <c r="H29" s="1"/>
      <c r="I29" s="1"/>
      <c r="J29" s="1"/>
      <c r="K29" s="1"/>
      <c r="L29" s="1"/>
      <c r="M29" s="1"/>
      <c r="N29" s="1"/>
      <c r="O29" s="1"/>
      <c r="P29" s="1"/>
      <c r="Q29" s="1"/>
      <c r="R29" s="1"/>
      <c r="S29" s="1"/>
      <c r="T29" s="1"/>
      <c r="U29" s="1"/>
    </row>
    <row r="30" ht="15.75" customHeight="1">
      <c r="E30" s="1"/>
      <c r="F30" s="1"/>
      <c r="G30" s="1"/>
      <c r="H30" s="1"/>
      <c r="I30" s="1"/>
      <c r="J30" s="1"/>
      <c r="K30" s="1"/>
      <c r="L30" s="1"/>
      <c r="M30" s="1"/>
      <c r="N30" s="1"/>
      <c r="O30" s="1"/>
      <c r="P30" s="1"/>
      <c r="Q30" s="1"/>
      <c r="R30" s="1"/>
      <c r="S30" s="1"/>
      <c r="T30" s="1"/>
      <c r="U30" s="1"/>
    </row>
    <row r="31" ht="15.75" customHeight="1">
      <c r="E31" s="1"/>
      <c r="F31" s="1"/>
      <c r="G31" s="1"/>
      <c r="H31" s="1"/>
      <c r="I31" s="1"/>
      <c r="J31" s="1"/>
      <c r="K31" s="1"/>
      <c r="L31" s="1"/>
      <c r="M31" s="1"/>
      <c r="N31" s="1"/>
      <c r="O31" s="1"/>
      <c r="P31" s="1"/>
      <c r="Q31" s="1"/>
      <c r="R31" s="1"/>
      <c r="S31" s="1"/>
      <c r="T31" s="1"/>
      <c r="U31" s="1"/>
    </row>
    <row r="32" ht="15.75" customHeight="1">
      <c r="E32" s="1"/>
      <c r="F32" s="1"/>
      <c r="G32" s="1"/>
      <c r="H32" s="1"/>
      <c r="I32" s="1"/>
      <c r="J32" s="1"/>
      <c r="K32" s="1"/>
      <c r="L32" s="1"/>
      <c r="M32" s="1"/>
      <c r="N32" s="1"/>
      <c r="O32" s="1"/>
      <c r="P32" s="1"/>
      <c r="Q32" s="1"/>
      <c r="R32" s="1"/>
      <c r="S32" s="1"/>
      <c r="T32" s="1"/>
      <c r="U32" s="1"/>
    </row>
    <row r="33" ht="15.75" customHeight="1">
      <c r="E33" s="1"/>
      <c r="F33" s="1"/>
      <c r="G33" s="1"/>
      <c r="H33" s="1"/>
      <c r="I33" s="1"/>
      <c r="J33" s="1"/>
      <c r="K33" s="1"/>
      <c r="L33" s="1"/>
      <c r="M33" s="1"/>
      <c r="N33" s="1"/>
      <c r="O33" s="1"/>
      <c r="P33" s="1"/>
      <c r="Q33" s="1"/>
      <c r="R33" s="1"/>
      <c r="S33" s="1"/>
      <c r="T33" s="1"/>
      <c r="U33" s="1"/>
    </row>
    <row r="34" ht="15.75" customHeight="1">
      <c r="E34" s="1"/>
      <c r="F34" s="1"/>
      <c r="G34" s="1"/>
      <c r="H34" s="1"/>
      <c r="I34" s="1"/>
      <c r="J34" s="1"/>
      <c r="K34" s="1"/>
      <c r="L34" s="1"/>
      <c r="M34" s="1"/>
      <c r="N34" s="1"/>
      <c r="O34" s="1"/>
      <c r="P34" s="1"/>
      <c r="Q34" s="1"/>
      <c r="R34" s="1"/>
      <c r="S34" s="1"/>
      <c r="T34" s="1"/>
      <c r="U34" s="1"/>
    </row>
    <row r="35" ht="15.75" customHeight="1">
      <c r="E35" s="1"/>
      <c r="F35" s="1"/>
      <c r="G35" s="1"/>
      <c r="H35" s="1"/>
      <c r="I35" s="1"/>
      <c r="J35" s="1"/>
      <c r="K35" s="1"/>
      <c r="L35" s="1"/>
      <c r="M35" s="1"/>
      <c r="N35" s="1"/>
      <c r="O35" s="1"/>
      <c r="P35" s="1"/>
      <c r="Q35" s="1"/>
      <c r="R35" s="1"/>
      <c r="S35" s="1"/>
      <c r="T35" s="1"/>
      <c r="U35" s="1"/>
    </row>
    <row r="36" ht="15.75" customHeight="1">
      <c r="E36" s="1"/>
      <c r="F36" s="1"/>
      <c r="G36" s="1"/>
      <c r="H36" s="1"/>
      <c r="I36" s="1"/>
      <c r="J36" s="1"/>
      <c r="K36" s="1"/>
      <c r="L36" s="1"/>
      <c r="M36" s="1"/>
      <c r="N36" s="1"/>
      <c r="O36" s="1"/>
      <c r="P36" s="1"/>
      <c r="Q36" s="1"/>
      <c r="R36" s="1"/>
      <c r="S36" s="1"/>
      <c r="T36" s="1"/>
      <c r="U36" s="1"/>
    </row>
    <row r="37" ht="15.75" customHeight="1">
      <c r="E37" s="1"/>
      <c r="F37" s="1"/>
      <c r="G37" s="1"/>
      <c r="H37" s="1"/>
      <c r="I37" s="1"/>
      <c r="J37" s="1"/>
      <c r="K37" s="1"/>
      <c r="L37" s="1"/>
      <c r="M37" s="1"/>
      <c r="N37" s="1"/>
      <c r="O37" s="1"/>
      <c r="P37" s="1"/>
      <c r="Q37" s="1"/>
      <c r="R37" s="1"/>
      <c r="S37" s="1"/>
      <c r="T37" s="1"/>
      <c r="U37" s="1"/>
    </row>
    <row r="38" ht="15.75" customHeight="1">
      <c r="E38" s="1"/>
      <c r="F38" s="1"/>
      <c r="G38" s="1"/>
      <c r="H38" s="1"/>
      <c r="I38" s="1"/>
      <c r="J38" s="1"/>
      <c r="K38" s="1"/>
      <c r="L38" s="1"/>
      <c r="M38" s="1"/>
      <c r="N38" s="1"/>
      <c r="O38" s="1"/>
      <c r="P38" s="1"/>
      <c r="Q38" s="1"/>
      <c r="R38" s="1"/>
      <c r="S38" s="1"/>
      <c r="T38" s="1"/>
      <c r="U38" s="1"/>
    </row>
    <row r="39" ht="15.75" customHeight="1">
      <c r="E39" s="1"/>
      <c r="F39" s="1"/>
      <c r="G39" s="1"/>
      <c r="H39" s="1"/>
      <c r="I39" s="1"/>
      <c r="J39" s="1"/>
      <c r="K39" s="1"/>
      <c r="L39" s="1"/>
      <c r="M39" s="1"/>
      <c r="N39" s="1"/>
      <c r="O39" s="1"/>
      <c r="P39" s="1"/>
      <c r="Q39" s="1"/>
      <c r="R39" s="1"/>
      <c r="S39" s="1"/>
      <c r="T39" s="1"/>
      <c r="U39" s="1"/>
    </row>
    <row r="40" ht="15.75" customHeight="1">
      <c r="E40" s="1"/>
      <c r="F40" s="1"/>
      <c r="G40" s="1"/>
      <c r="H40" s="1"/>
      <c r="I40" s="1"/>
      <c r="J40" s="1"/>
      <c r="K40" s="1"/>
      <c r="L40" s="1"/>
      <c r="M40" s="1"/>
      <c r="N40" s="1"/>
      <c r="O40" s="1"/>
      <c r="P40" s="1"/>
      <c r="Q40" s="1"/>
      <c r="R40" s="1"/>
      <c r="S40" s="1"/>
      <c r="T40" s="1"/>
      <c r="U40" s="1"/>
    </row>
    <row r="41" ht="15.75" customHeight="1">
      <c r="E41" s="1"/>
      <c r="F41" s="1"/>
      <c r="G41" s="1"/>
      <c r="H41" s="1"/>
      <c r="I41" s="1"/>
      <c r="J41" s="1"/>
      <c r="K41" s="1"/>
      <c r="L41" s="1"/>
      <c r="M41" s="1"/>
      <c r="N41" s="1"/>
      <c r="O41" s="1"/>
      <c r="P41" s="1"/>
      <c r="Q41" s="1"/>
      <c r="R41" s="1"/>
      <c r="S41" s="1"/>
      <c r="T41" s="1"/>
      <c r="U41" s="1"/>
    </row>
    <row r="42" ht="15.75" customHeight="1">
      <c r="E42" s="1"/>
      <c r="F42" s="1"/>
      <c r="G42" s="1"/>
      <c r="H42" s="1"/>
      <c r="I42" s="1"/>
      <c r="J42" s="1"/>
      <c r="K42" s="1"/>
      <c r="L42" s="1"/>
      <c r="M42" s="1"/>
      <c r="N42" s="1"/>
      <c r="O42" s="1"/>
      <c r="P42" s="1"/>
      <c r="Q42" s="1"/>
      <c r="R42" s="1"/>
      <c r="S42" s="1"/>
      <c r="T42" s="1"/>
      <c r="U42" s="1"/>
    </row>
    <row r="43" ht="15.75" customHeight="1">
      <c r="E43" s="1"/>
      <c r="F43" s="1"/>
      <c r="G43" s="1"/>
      <c r="H43" s="1"/>
      <c r="I43" s="1"/>
      <c r="J43" s="1"/>
      <c r="K43" s="1"/>
      <c r="L43" s="1"/>
      <c r="M43" s="1"/>
      <c r="N43" s="1"/>
      <c r="O43" s="1"/>
      <c r="P43" s="1"/>
      <c r="Q43" s="1"/>
      <c r="R43" s="1"/>
      <c r="S43" s="1"/>
      <c r="T43" s="1"/>
      <c r="U43" s="1"/>
    </row>
    <row r="44" ht="15.75" customHeight="1">
      <c r="E44" s="1"/>
      <c r="F44" s="1"/>
      <c r="G44" s="1"/>
      <c r="H44" s="1"/>
      <c r="I44" s="1"/>
      <c r="J44" s="1"/>
      <c r="K44" s="1"/>
      <c r="L44" s="1"/>
      <c r="M44" s="1"/>
      <c r="N44" s="1"/>
      <c r="O44" s="1"/>
      <c r="P44" s="1"/>
      <c r="Q44" s="1"/>
      <c r="R44" s="1"/>
      <c r="S44" s="1"/>
      <c r="T44" s="1"/>
      <c r="U44" s="1"/>
    </row>
    <row r="45" ht="15.75" customHeight="1">
      <c r="E45" s="1"/>
      <c r="F45" s="1"/>
      <c r="G45" s="1"/>
      <c r="H45" s="1"/>
      <c r="I45" s="1"/>
      <c r="J45" s="1"/>
      <c r="K45" s="1"/>
      <c r="L45" s="1"/>
      <c r="M45" s="1"/>
      <c r="N45" s="1"/>
      <c r="O45" s="1"/>
      <c r="P45" s="1"/>
      <c r="Q45" s="1"/>
      <c r="R45" s="1"/>
      <c r="S45" s="1"/>
      <c r="T45" s="1"/>
      <c r="U45" s="1"/>
    </row>
    <row r="46" ht="15.75" customHeight="1">
      <c r="E46" s="1"/>
      <c r="F46" s="1"/>
      <c r="G46" s="1"/>
      <c r="H46" s="1"/>
      <c r="I46" s="1"/>
      <c r="J46" s="1"/>
      <c r="K46" s="1"/>
      <c r="L46" s="1"/>
      <c r="M46" s="1"/>
      <c r="N46" s="1"/>
      <c r="O46" s="1"/>
      <c r="P46" s="1"/>
      <c r="Q46" s="1"/>
      <c r="R46" s="1"/>
      <c r="S46" s="1"/>
      <c r="T46" s="1"/>
      <c r="U46" s="1"/>
    </row>
    <row r="47" ht="15.75" customHeight="1">
      <c r="E47" s="1"/>
      <c r="F47" s="1"/>
      <c r="G47" s="1"/>
      <c r="H47" s="1"/>
      <c r="I47" s="1"/>
      <c r="J47" s="1"/>
      <c r="K47" s="1"/>
      <c r="L47" s="1"/>
      <c r="M47" s="1"/>
      <c r="N47" s="1"/>
      <c r="O47" s="1"/>
      <c r="P47" s="1"/>
      <c r="Q47" s="1"/>
      <c r="R47" s="1"/>
      <c r="S47" s="1"/>
      <c r="T47" s="1"/>
      <c r="U47" s="1"/>
    </row>
    <row r="48" ht="15.75" customHeight="1">
      <c r="E48" s="1"/>
      <c r="F48" s="1"/>
      <c r="G48" s="1"/>
      <c r="H48" s="1"/>
      <c r="I48" s="1"/>
      <c r="J48" s="1"/>
      <c r="K48" s="1"/>
      <c r="L48" s="1"/>
      <c r="M48" s="1"/>
      <c r="N48" s="1"/>
      <c r="O48" s="1"/>
      <c r="P48" s="1"/>
      <c r="Q48" s="1"/>
      <c r="R48" s="1"/>
      <c r="S48" s="1"/>
      <c r="T48" s="1"/>
      <c r="U48" s="1"/>
    </row>
    <row r="49" ht="15.75" customHeight="1">
      <c r="E49" s="1"/>
      <c r="F49" s="1"/>
      <c r="G49" s="1"/>
      <c r="H49" s="1"/>
      <c r="I49" s="1"/>
      <c r="J49" s="1"/>
      <c r="K49" s="1"/>
      <c r="L49" s="1"/>
      <c r="M49" s="1"/>
      <c r="N49" s="1"/>
      <c r="O49" s="1"/>
      <c r="P49" s="1"/>
      <c r="Q49" s="1"/>
      <c r="R49" s="1"/>
      <c r="S49" s="1"/>
      <c r="T49" s="1"/>
      <c r="U49" s="1"/>
    </row>
    <row r="50" ht="15.75" customHeight="1">
      <c r="E50" s="1"/>
      <c r="F50" s="1"/>
      <c r="G50" s="1"/>
      <c r="H50" s="1"/>
      <c r="I50" s="1"/>
      <c r="J50" s="1"/>
      <c r="K50" s="1"/>
      <c r="L50" s="1"/>
      <c r="M50" s="1"/>
      <c r="N50" s="1"/>
      <c r="O50" s="1"/>
      <c r="P50" s="1"/>
      <c r="Q50" s="1"/>
      <c r="R50" s="1"/>
      <c r="S50" s="1"/>
      <c r="T50" s="1"/>
      <c r="U50" s="1"/>
    </row>
    <row r="51" ht="15.75" customHeight="1">
      <c r="E51" s="1"/>
      <c r="F51" s="1"/>
      <c r="G51" s="1"/>
      <c r="H51" s="1"/>
      <c r="I51" s="1"/>
      <c r="J51" s="1"/>
      <c r="K51" s="1"/>
      <c r="L51" s="1"/>
      <c r="M51" s="1"/>
      <c r="N51" s="1"/>
      <c r="O51" s="1"/>
      <c r="P51" s="1"/>
      <c r="Q51" s="1"/>
      <c r="R51" s="1"/>
      <c r="S51" s="1"/>
      <c r="T51" s="1"/>
      <c r="U51" s="1"/>
    </row>
    <row r="52" ht="15.75" customHeight="1">
      <c r="E52" s="1"/>
      <c r="F52" s="1"/>
      <c r="G52" s="1"/>
      <c r="H52" s="1"/>
      <c r="I52" s="1"/>
      <c r="J52" s="1"/>
      <c r="K52" s="1"/>
      <c r="L52" s="1"/>
      <c r="M52" s="1"/>
      <c r="N52" s="1"/>
      <c r="O52" s="1"/>
      <c r="P52" s="1"/>
      <c r="Q52" s="1"/>
      <c r="R52" s="1"/>
      <c r="S52" s="1"/>
      <c r="T52" s="1"/>
      <c r="U52" s="1"/>
    </row>
    <row r="53" ht="15.75" customHeight="1">
      <c r="E53" s="1"/>
      <c r="F53" s="1"/>
      <c r="G53" s="1"/>
      <c r="H53" s="1"/>
      <c r="I53" s="1"/>
      <c r="J53" s="1"/>
      <c r="K53" s="1"/>
      <c r="L53" s="1"/>
      <c r="M53" s="1"/>
      <c r="N53" s="1"/>
      <c r="O53" s="1"/>
      <c r="P53" s="1"/>
      <c r="Q53" s="1"/>
      <c r="R53" s="1"/>
      <c r="S53" s="1"/>
      <c r="T53" s="1"/>
      <c r="U53" s="1"/>
    </row>
    <row r="54" ht="15.75" customHeight="1">
      <c r="E54" s="1"/>
      <c r="F54" s="1"/>
      <c r="G54" s="1"/>
      <c r="H54" s="1"/>
      <c r="I54" s="1"/>
      <c r="J54" s="1"/>
      <c r="K54" s="1"/>
      <c r="L54" s="1"/>
      <c r="M54" s="1"/>
      <c r="N54" s="1"/>
      <c r="O54" s="1"/>
      <c r="P54" s="1"/>
      <c r="Q54" s="1"/>
      <c r="R54" s="1"/>
      <c r="S54" s="1"/>
      <c r="T54" s="1"/>
      <c r="U54" s="1"/>
    </row>
    <row r="55" ht="15.75" customHeight="1">
      <c r="E55" s="1"/>
      <c r="F55" s="1"/>
      <c r="G55" s="1"/>
      <c r="H55" s="1"/>
      <c r="I55" s="1"/>
      <c r="J55" s="1"/>
      <c r="K55" s="1"/>
      <c r="L55" s="1"/>
      <c r="M55" s="1"/>
      <c r="N55" s="1"/>
      <c r="O55" s="1"/>
      <c r="P55" s="1"/>
      <c r="Q55" s="1"/>
      <c r="R55" s="1"/>
      <c r="S55" s="1"/>
      <c r="T55" s="1"/>
      <c r="U55" s="1"/>
    </row>
    <row r="56" ht="15.75" customHeight="1">
      <c r="E56" s="1"/>
      <c r="F56" s="1"/>
      <c r="G56" s="1"/>
      <c r="H56" s="1"/>
      <c r="I56" s="1"/>
      <c r="J56" s="1"/>
      <c r="K56" s="1"/>
      <c r="L56" s="1"/>
      <c r="M56" s="1"/>
      <c r="N56" s="1"/>
      <c r="O56" s="1"/>
      <c r="P56" s="1"/>
      <c r="Q56" s="1"/>
      <c r="R56" s="1"/>
      <c r="S56" s="1"/>
      <c r="T56" s="1"/>
      <c r="U56" s="1"/>
    </row>
    <row r="57" ht="15.75" customHeight="1">
      <c r="E57" s="1"/>
      <c r="F57" s="1"/>
      <c r="G57" s="1"/>
      <c r="H57" s="1"/>
      <c r="I57" s="1"/>
      <c r="J57" s="1"/>
      <c r="K57" s="1"/>
      <c r="L57" s="1"/>
      <c r="M57" s="1"/>
      <c r="N57" s="1"/>
      <c r="O57" s="1"/>
      <c r="P57" s="1"/>
      <c r="Q57" s="1"/>
      <c r="R57" s="1"/>
      <c r="S57" s="1"/>
      <c r="T57" s="1"/>
      <c r="U57" s="1"/>
    </row>
    <row r="58" ht="15.75" customHeight="1">
      <c r="E58" s="1"/>
      <c r="F58" s="1"/>
      <c r="G58" s="1"/>
      <c r="H58" s="1"/>
      <c r="I58" s="1"/>
      <c r="J58" s="1"/>
      <c r="K58" s="1"/>
      <c r="L58" s="1"/>
      <c r="M58" s="1"/>
      <c r="N58" s="1"/>
      <c r="O58" s="1"/>
      <c r="P58" s="1"/>
      <c r="Q58" s="1"/>
      <c r="R58" s="1"/>
      <c r="S58" s="1"/>
      <c r="T58" s="1"/>
      <c r="U58" s="1"/>
    </row>
    <row r="59" ht="15.75" customHeight="1">
      <c r="E59" s="1"/>
      <c r="F59" s="1"/>
      <c r="G59" s="1"/>
      <c r="H59" s="1"/>
      <c r="I59" s="1"/>
      <c r="J59" s="1"/>
      <c r="K59" s="1"/>
      <c r="L59" s="1"/>
      <c r="M59" s="1"/>
      <c r="N59" s="1"/>
      <c r="O59" s="1"/>
      <c r="P59" s="1"/>
      <c r="Q59" s="1"/>
      <c r="R59" s="1"/>
      <c r="S59" s="1"/>
      <c r="T59" s="1"/>
      <c r="U59" s="1"/>
    </row>
    <row r="60" ht="15.75" customHeight="1">
      <c r="E60" s="1"/>
      <c r="F60" s="1"/>
      <c r="G60" s="1"/>
      <c r="H60" s="1"/>
      <c r="I60" s="1"/>
      <c r="J60" s="1"/>
      <c r="K60" s="1"/>
      <c r="L60" s="1"/>
      <c r="M60" s="1"/>
      <c r="N60" s="1"/>
      <c r="O60" s="1"/>
      <c r="P60" s="1"/>
      <c r="Q60" s="1"/>
      <c r="R60" s="1"/>
      <c r="S60" s="1"/>
      <c r="T60" s="1"/>
      <c r="U60" s="1"/>
    </row>
    <row r="61" ht="15.75" customHeight="1">
      <c r="E61" s="1"/>
      <c r="F61" s="1"/>
      <c r="G61" s="1"/>
      <c r="H61" s="1"/>
      <c r="I61" s="1"/>
      <c r="J61" s="1"/>
      <c r="K61" s="1"/>
      <c r="L61" s="1"/>
      <c r="M61" s="1"/>
      <c r="N61" s="1"/>
      <c r="O61" s="1"/>
      <c r="P61" s="1"/>
      <c r="Q61" s="1"/>
      <c r="R61" s="1"/>
      <c r="S61" s="1"/>
      <c r="T61" s="1"/>
      <c r="U61" s="1"/>
    </row>
    <row r="62" ht="15.75" customHeight="1">
      <c r="E62" s="1"/>
      <c r="F62" s="1"/>
      <c r="G62" s="1"/>
      <c r="H62" s="1"/>
      <c r="I62" s="1"/>
      <c r="J62" s="1"/>
      <c r="K62" s="1"/>
      <c r="L62" s="1"/>
      <c r="M62" s="1"/>
      <c r="N62" s="1"/>
      <c r="O62" s="1"/>
      <c r="P62" s="1"/>
      <c r="Q62" s="1"/>
      <c r="R62" s="1"/>
      <c r="S62" s="1"/>
      <c r="T62" s="1"/>
      <c r="U62" s="1"/>
    </row>
    <row r="63" ht="15.75" customHeight="1">
      <c r="E63" s="1"/>
      <c r="F63" s="1"/>
      <c r="G63" s="1"/>
      <c r="H63" s="1"/>
      <c r="I63" s="1"/>
      <c r="J63" s="1"/>
      <c r="K63" s="1"/>
      <c r="L63" s="1"/>
      <c r="M63" s="1"/>
      <c r="N63" s="1"/>
      <c r="O63" s="1"/>
      <c r="P63" s="1"/>
      <c r="Q63" s="1"/>
      <c r="R63" s="1"/>
      <c r="S63" s="1"/>
      <c r="T63" s="1"/>
      <c r="U63" s="1"/>
    </row>
    <row r="64" ht="15.75" customHeight="1">
      <c r="E64" s="1"/>
      <c r="F64" s="1"/>
      <c r="G64" s="1"/>
      <c r="H64" s="1"/>
      <c r="I64" s="1"/>
      <c r="J64" s="1"/>
      <c r="K64" s="1"/>
      <c r="L64" s="1"/>
      <c r="M64" s="1"/>
      <c r="N64" s="1"/>
      <c r="O64" s="1"/>
      <c r="P64" s="1"/>
      <c r="Q64" s="1"/>
      <c r="R64" s="1"/>
      <c r="S64" s="1"/>
      <c r="T64" s="1"/>
      <c r="U64" s="1"/>
    </row>
    <row r="65" ht="15.75" customHeight="1">
      <c r="E65" s="1"/>
      <c r="F65" s="1"/>
      <c r="G65" s="1"/>
      <c r="H65" s="1"/>
      <c r="I65" s="1"/>
      <c r="J65" s="1"/>
      <c r="K65" s="1"/>
      <c r="L65" s="1"/>
      <c r="M65" s="1"/>
      <c r="N65" s="1"/>
      <c r="O65" s="1"/>
      <c r="P65" s="1"/>
      <c r="Q65" s="1"/>
      <c r="R65" s="1"/>
      <c r="S65" s="1"/>
      <c r="T65" s="1"/>
      <c r="U65" s="1"/>
    </row>
    <row r="66" ht="15.75" customHeight="1">
      <c r="E66" s="1"/>
      <c r="F66" s="1"/>
      <c r="G66" s="1"/>
      <c r="H66" s="1"/>
      <c r="I66" s="1"/>
      <c r="J66" s="1"/>
      <c r="K66" s="1"/>
      <c r="L66" s="1"/>
      <c r="M66" s="1"/>
      <c r="N66" s="1"/>
      <c r="O66" s="1"/>
      <c r="P66" s="1"/>
      <c r="Q66" s="1"/>
      <c r="R66" s="1"/>
      <c r="S66" s="1"/>
      <c r="T66" s="1"/>
      <c r="U66" s="1"/>
    </row>
    <row r="67" ht="15.75" customHeight="1">
      <c r="E67" s="1"/>
      <c r="F67" s="1"/>
      <c r="G67" s="1"/>
      <c r="H67" s="1"/>
      <c r="I67" s="1"/>
      <c r="J67" s="1"/>
      <c r="K67" s="1"/>
      <c r="L67" s="1"/>
      <c r="M67" s="1"/>
      <c r="N67" s="1"/>
      <c r="O67" s="1"/>
      <c r="P67" s="1"/>
      <c r="Q67" s="1"/>
      <c r="R67" s="1"/>
      <c r="S67" s="1"/>
      <c r="T67" s="1"/>
      <c r="U67" s="1"/>
    </row>
    <row r="68" ht="15.75" customHeight="1">
      <c r="E68" s="1"/>
      <c r="F68" s="1"/>
      <c r="G68" s="1"/>
      <c r="H68" s="1"/>
      <c r="I68" s="1"/>
      <c r="J68" s="1"/>
      <c r="K68" s="1"/>
      <c r="L68" s="1"/>
      <c r="M68" s="1"/>
      <c r="N68" s="1"/>
      <c r="O68" s="1"/>
      <c r="P68" s="1"/>
      <c r="Q68" s="1"/>
      <c r="R68" s="1"/>
      <c r="S68" s="1"/>
      <c r="T68" s="1"/>
      <c r="U68" s="1"/>
    </row>
    <row r="69" ht="15.75" customHeight="1">
      <c r="E69" s="1"/>
      <c r="F69" s="1"/>
      <c r="G69" s="1"/>
      <c r="H69" s="1"/>
      <c r="I69" s="1"/>
      <c r="J69" s="1"/>
      <c r="K69" s="1"/>
      <c r="L69" s="1"/>
      <c r="M69" s="1"/>
      <c r="N69" s="1"/>
      <c r="O69" s="1"/>
      <c r="P69" s="1"/>
      <c r="Q69" s="1"/>
      <c r="R69" s="1"/>
      <c r="S69" s="1"/>
      <c r="T69" s="1"/>
      <c r="U69" s="1"/>
    </row>
    <row r="70" ht="15.75" customHeight="1">
      <c r="E70" s="1"/>
      <c r="F70" s="1"/>
      <c r="G70" s="1"/>
      <c r="H70" s="1"/>
      <c r="I70" s="1"/>
      <c r="J70" s="1"/>
      <c r="K70" s="1"/>
      <c r="L70" s="1"/>
      <c r="M70" s="1"/>
      <c r="N70" s="1"/>
      <c r="O70" s="1"/>
      <c r="P70" s="1"/>
      <c r="Q70" s="1"/>
      <c r="R70" s="1"/>
      <c r="S70" s="1"/>
      <c r="T70" s="1"/>
      <c r="U70" s="1"/>
    </row>
    <row r="71" ht="15.75" customHeight="1">
      <c r="E71" s="1"/>
      <c r="F71" s="1"/>
      <c r="G71" s="1"/>
      <c r="H71" s="1"/>
      <c r="I71" s="1"/>
      <c r="J71" s="1"/>
      <c r="K71" s="1"/>
      <c r="L71" s="1"/>
      <c r="M71" s="1"/>
      <c r="N71" s="1"/>
      <c r="O71" s="1"/>
      <c r="P71" s="1"/>
      <c r="Q71" s="1"/>
      <c r="R71" s="1"/>
      <c r="S71" s="1"/>
      <c r="T71" s="1"/>
      <c r="U71" s="1"/>
    </row>
    <row r="72" ht="15.75" customHeight="1">
      <c r="E72" s="1"/>
      <c r="F72" s="1"/>
      <c r="G72" s="1"/>
      <c r="H72" s="1"/>
      <c r="I72" s="1"/>
      <c r="J72" s="1"/>
      <c r="K72" s="1"/>
      <c r="L72" s="1"/>
      <c r="M72" s="1"/>
      <c r="N72" s="1"/>
      <c r="O72" s="1"/>
      <c r="P72" s="1"/>
      <c r="Q72" s="1"/>
      <c r="R72" s="1"/>
      <c r="S72" s="1"/>
      <c r="T72" s="1"/>
      <c r="U72" s="1"/>
    </row>
    <row r="73" ht="15.75" customHeight="1">
      <c r="E73" s="1"/>
      <c r="F73" s="1"/>
      <c r="G73" s="1"/>
      <c r="H73" s="1"/>
      <c r="I73" s="1"/>
      <c r="J73" s="1"/>
      <c r="K73" s="1"/>
      <c r="L73" s="1"/>
      <c r="M73" s="1"/>
      <c r="N73" s="1"/>
      <c r="O73" s="1"/>
      <c r="P73" s="1"/>
      <c r="Q73" s="1"/>
      <c r="R73" s="1"/>
      <c r="S73" s="1"/>
      <c r="T73" s="1"/>
      <c r="U73" s="1"/>
    </row>
    <row r="74" ht="15.75" customHeight="1">
      <c r="E74" s="1"/>
      <c r="F74" s="1"/>
      <c r="G74" s="1"/>
      <c r="H74" s="1"/>
      <c r="I74" s="1"/>
      <c r="J74" s="1"/>
      <c r="K74" s="1"/>
      <c r="L74" s="1"/>
      <c r="M74" s="1"/>
      <c r="N74" s="1"/>
      <c r="O74" s="1"/>
      <c r="P74" s="1"/>
      <c r="Q74" s="1"/>
      <c r="R74" s="1"/>
      <c r="S74" s="1"/>
      <c r="T74" s="1"/>
      <c r="U74" s="1"/>
    </row>
    <row r="75" ht="15.75" customHeight="1">
      <c r="E75" s="1"/>
      <c r="F75" s="1"/>
      <c r="G75" s="1"/>
      <c r="H75" s="1"/>
      <c r="I75" s="1"/>
      <c r="J75" s="1"/>
      <c r="K75" s="1"/>
      <c r="L75" s="1"/>
      <c r="M75" s="1"/>
      <c r="N75" s="1"/>
      <c r="O75" s="1"/>
      <c r="P75" s="1"/>
      <c r="Q75" s="1"/>
      <c r="R75" s="1"/>
      <c r="S75" s="1"/>
      <c r="T75" s="1"/>
      <c r="U75" s="1"/>
    </row>
    <row r="76" ht="15.75" customHeight="1">
      <c r="E76" s="1"/>
      <c r="F76" s="1"/>
      <c r="G76" s="1"/>
      <c r="H76" s="1"/>
      <c r="I76" s="1"/>
      <c r="J76" s="1"/>
      <c r="K76" s="1"/>
      <c r="L76" s="1"/>
      <c r="M76" s="1"/>
      <c r="N76" s="1"/>
      <c r="O76" s="1"/>
      <c r="P76" s="1"/>
      <c r="Q76" s="1"/>
      <c r="R76" s="1"/>
      <c r="S76" s="1"/>
      <c r="T76" s="1"/>
      <c r="U76" s="1"/>
    </row>
    <row r="77" ht="15.75" customHeight="1">
      <c r="E77" s="1"/>
      <c r="F77" s="1"/>
      <c r="G77" s="1"/>
      <c r="H77" s="1"/>
      <c r="I77" s="1"/>
      <c r="J77" s="1"/>
      <c r="K77" s="1"/>
      <c r="L77" s="1"/>
      <c r="M77" s="1"/>
      <c r="N77" s="1"/>
      <c r="O77" s="1"/>
      <c r="P77" s="1"/>
      <c r="Q77" s="1"/>
      <c r="R77" s="1"/>
      <c r="S77" s="1"/>
      <c r="T77" s="1"/>
      <c r="U77" s="1"/>
    </row>
    <row r="78" ht="15.75" customHeight="1">
      <c r="E78" s="1"/>
      <c r="F78" s="1"/>
      <c r="G78" s="1"/>
      <c r="H78" s="1"/>
      <c r="I78" s="1"/>
      <c r="J78" s="1"/>
      <c r="K78" s="1"/>
      <c r="L78" s="1"/>
      <c r="M78" s="1"/>
      <c r="N78" s="1"/>
      <c r="O78" s="1"/>
      <c r="P78" s="1"/>
      <c r="Q78" s="1"/>
      <c r="R78" s="1"/>
      <c r="S78" s="1"/>
      <c r="T78" s="1"/>
      <c r="U78" s="1"/>
    </row>
    <row r="79" ht="15.75" customHeight="1">
      <c r="E79" s="1"/>
      <c r="F79" s="1"/>
      <c r="G79" s="1"/>
      <c r="H79" s="1"/>
      <c r="I79" s="1"/>
      <c r="J79" s="1"/>
      <c r="K79" s="1"/>
      <c r="L79" s="1"/>
      <c r="M79" s="1"/>
      <c r="N79" s="1"/>
      <c r="O79" s="1"/>
      <c r="P79" s="1"/>
      <c r="Q79" s="1"/>
      <c r="R79" s="1"/>
      <c r="S79" s="1"/>
      <c r="T79" s="1"/>
      <c r="U79" s="1"/>
    </row>
    <row r="80" ht="15.75" customHeight="1">
      <c r="E80" s="1"/>
      <c r="F80" s="1"/>
      <c r="G80" s="1"/>
      <c r="H80" s="1"/>
      <c r="I80" s="1"/>
      <c r="J80" s="1"/>
      <c r="K80" s="1"/>
      <c r="L80" s="1"/>
      <c r="M80" s="1"/>
      <c r="N80" s="1"/>
      <c r="O80" s="1"/>
      <c r="P80" s="1"/>
      <c r="Q80" s="1"/>
      <c r="R80" s="1"/>
      <c r="S80" s="1"/>
      <c r="T80" s="1"/>
      <c r="U80" s="1"/>
    </row>
    <row r="81" ht="15.75" customHeight="1">
      <c r="E81" s="1"/>
      <c r="F81" s="1"/>
      <c r="G81" s="1"/>
      <c r="H81" s="1"/>
      <c r="I81" s="1"/>
      <c r="J81" s="1"/>
      <c r="K81" s="1"/>
      <c r="L81" s="1"/>
      <c r="M81" s="1"/>
      <c r="N81" s="1"/>
      <c r="O81" s="1"/>
      <c r="P81" s="1"/>
      <c r="Q81" s="1"/>
      <c r="R81" s="1"/>
      <c r="S81" s="1"/>
      <c r="T81" s="1"/>
      <c r="U81" s="1"/>
    </row>
    <row r="82" ht="15.75" customHeight="1">
      <c r="E82" s="1"/>
      <c r="F82" s="1"/>
      <c r="G82" s="1"/>
      <c r="H82" s="1"/>
      <c r="I82" s="1"/>
      <c r="J82" s="1"/>
      <c r="K82" s="1"/>
      <c r="L82" s="1"/>
      <c r="M82" s="1"/>
      <c r="N82" s="1"/>
      <c r="O82" s="1"/>
      <c r="P82" s="1"/>
      <c r="Q82" s="1"/>
      <c r="R82" s="1"/>
      <c r="S82" s="1"/>
      <c r="T82" s="1"/>
      <c r="U82" s="1"/>
    </row>
    <row r="83" ht="15.75" customHeight="1">
      <c r="E83" s="1"/>
      <c r="F83" s="1"/>
      <c r="G83" s="1"/>
      <c r="H83" s="1"/>
      <c r="I83" s="1"/>
      <c r="J83" s="1"/>
      <c r="K83" s="1"/>
      <c r="L83" s="1"/>
      <c r="M83" s="1"/>
      <c r="N83" s="1"/>
      <c r="O83" s="1"/>
      <c r="P83" s="1"/>
      <c r="Q83" s="1"/>
      <c r="R83" s="1"/>
      <c r="S83" s="1"/>
      <c r="T83" s="1"/>
      <c r="U83" s="1"/>
    </row>
    <row r="84" ht="15.75" customHeight="1">
      <c r="E84" s="1"/>
      <c r="F84" s="1"/>
      <c r="G84" s="1"/>
      <c r="H84" s="1"/>
      <c r="I84" s="1"/>
      <c r="J84" s="1"/>
      <c r="K84" s="1"/>
      <c r="L84" s="1"/>
      <c r="M84" s="1"/>
      <c r="N84" s="1"/>
      <c r="O84" s="1"/>
      <c r="P84" s="1"/>
      <c r="Q84" s="1"/>
      <c r="R84" s="1"/>
      <c r="S84" s="1"/>
      <c r="T84" s="1"/>
      <c r="U84" s="1"/>
    </row>
    <row r="85" ht="15.75" customHeight="1">
      <c r="E85" s="1"/>
      <c r="F85" s="1"/>
      <c r="G85" s="1"/>
      <c r="H85" s="1"/>
      <c r="I85" s="1"/>
      <c r="J85" s="1"/>
      <c r="K85" s="1"/>
      <c r="L85" s="1"/>
      <c r="M85" s="1"/>
      <c r="N85" s="1"/>
      <c r="O85" s="1"/>
      <c r="P85" s="1"/>
      <c r="Q85" s="1"/>
      <c r="R85" s="1"/>
      <c r="S85" s="1"/>
      <c r="T85" s="1"/>
      <c r="U85" s="1"/>
    </row>
    <row r="86" ht="15.75" customHeight="1">
      <c r="E86" s="1"/>
      <c r="F86" s="1"/>
      <c r="G86" s="1"/>
      <c r="H86" s="1"/>
      <c r="I86" s="1"/>
      <c r="J86" s="1"/>
      <c r="K86" s="1"/>
      <c r="L86" s="1"/>
      <c r="M86" s="1"/>
      <c r="N86" s="1"/>
      <c r="O86" s="1"/>
      <c r="P86" s="1"/>
      <c r="Q86" s="1"/>
      <c r="R86" s="1"/>
      <c r="S86" s="1"/>
      <c r="T86" s="1"/>
      <c r="U86" s="1"/>
    </row>
    <row r="87" ht="15.75" customHeight="1">
      <c r="E87" s="1"/>
      <c r="F87" s="1"/>
      <c r="G87" s="1"/>
      <c r="H87" s="1"/>
      <c r="I87" s="1"/>
      <c r="J87" s="1"/>
      <c r="K87" s="1"/>
      <c r="L87" s="1"/>
      <c r="M87" s="1"/>
      <c r="N87" s="1"/>
      <c r="O87" s="1"/>
      <c r="P87" s="1"/>
      <c r="Q87" s="1"/>
      <c r="R87" s="1"/>
      <c r="S87" s="1"/>
      <c r="T87" s="1"/>
      <c r="U87" s="1"/>
    </row>
    <row r="88" ht="15.75" customHeight="1">
      <c r="E88" s="1"/>
      <c r="F88" s="1"/>
      <c r="G88" s="1"/>
      <c r="H88" s="1"/>
      <c r="I88" s="1"/>
      <c r="J88" s="1"/>
      <c r="K88" s="1"/>
      <c r="L88" s="1"/>
      <c r="M88" s="1"/>
      <c r="N88" s="1"/>
      <c r="O88" s="1"/>
      <c r="P88" s="1"/>
      <c r="Q88" s="1"/>
      <c r="R88" s="1"/>
      <c r="S88" s="1"/>
      <c r="T88" s="1"/>
      <c r="U88" s="1"/>
    </row>
    <row r="89" ht="15.75" customHeight="1">
      <c r="E89" s="1"/>
      <c r="F89" s="1"/>
      <c r="G89" s="1"/>
      <c r="H89" s="1"/>
      <c r="I89" s="1"/>
      <c r="J89" s="1"/>
      <c r="K89" s="1"/>
      <c r="L89" s="1"/>
      <c r="M89" s="1"/>
      <c r="N89" s="1"/>
      <c r="O89" s="1"/>
      <c r="P89" s="1"/>
      <c r="Q89" s="1"/>
      <c r="R89" s="1"/>
      <c r="S89" s="1"/>
      <c r="T89" s="1"/>
      <c r="U89" s="1"/>
    </row>
    <row r="90" ht="15.75" customHeight="1">
      <c r="E90" s="1"/>
      <c r="F90" s="1"/>
      <c r="G90" s="1"/>
      <c r="H90" s="1"/>
      <c r="I90" s="1"/>
      <c r="J90" s="1"/>
      <c r="K90" s="1"/>
      <c r="L90" s="1"/>
      <c r="M90" s="1"/>
      <c r="N90" s="1"/>
      <c r="O90" s="1"/>
      <c r="P90" s="1"/>
      <c r="Q90" s="1"/>
      <c r="R90" s="1"/>
      <c r="S90" s="1"/>
      <c r="T90" s="1"/>
      <c r="U90" s="1"/>
    </row>
    <row r="91" ht="15.75" customHeight="1">
      <c r="E91" s="1"/>
      <c r="F91" s="1"/>
      <c r="G91" s="1"/>
      <c r="H91" s="1"/>
      <c r="I91" s="1"/>
      <c r="J91" s="1"/>
      <c r="K91" s="1"/>
      <c r="L91" s="1"/>
      <c r="M91" s="1"/>
      <c r="N91" s="1"/>
      <c r="O91" s="1"/>
      <c r="P91" s="1"/>
      <c r="Q91" s="1"/>
      <c r="R91" s="1"/>
      <c r="S91" s="1"/>
      <c r="T91" s="1"/>
      <c r="U91" s="1"/>
    </row>
    <row r="92" ht="15.75" customHeight="1">
      <c r="E92" s="1"/>
      <c r="F92" s="1"/>
      <c r="G92" s="1"/>
      <c r="H92" s="1"/>
      <c r="I92" s="1"/>
      <c r="J92" s="1"/>
      <c r="K92" s="1"/>
      <c r="L92" s="1"/>
      <c r="M92" s="1"/>
      <c r="N92" s="1"/>
      <c r="O92" s="1"/>
      <c r="P92" s="1"/>
      <c r="Q92" s="1"/>
      <c r="R92" s="1"/>
      <c r="S92" s="1"/>
      <c r="T92" s="1"/>
      <c r="U92" s="1"/>
    </row>
    <row r="93" ht="15.75" customHeight="1">
      <c r="E93" s="1"/>
      <c r="F93" s="1"/>
      <c r="G93" s="1"/>
      <c r="H93" s="1"/>
      <c r="I93" s="1"/>
      <c r="J93" s="1"/>
      <c r="K93" s="1"/>
      <c r="L93" s="1"/>
      <c r="M93" s="1"/>
      <c r="N93" s="1"/>
      <c r="O93" s="1"/>
      <c r="P93" s="1"/>
      <c r="Q93" s="1"/>
      <c r="R93" s="1"/>
      <c r="S93" s="1"/>
      <c r="T93" s="1"/>
      <c r="U93" s="1"/>
    </row>
    <row r="94" ht="15.75" customHeight="1">
      <c r="E94" s="1"/>
      <c r="F94" s="1"/>
      <c r="G94" s="1"/>
      <c r="H94" s="1"/>
      <c r="I94" s="1"/>
      <c r="J94" s="1"/>
      <c r="K94" s="1"/>
      <c r="L94" s="1"/>
      <c r="M94" s="1"/>
      <c r="N94" s="1"/>
      <c r="O94" s="1"/>
      <c r="P94" s="1"/>
      <c r="Q94" s="1"/>
      <c r="R94" s="1"/>
      <c r="S94" s="1"/>
      <c r="T94" s="1"/>
      <c r="U94" s="1"/>
    </row>
    <row r="95" ht="15.75" customHeight="1">
      <c r="E95" s="1"/>
      <c r="F95" s="1"/>
      <c r="G95" s="1"/>
      <c r="H95" s="1"/>
      <c r="I95" s="1"/>
      <c r="J95" s="1"/>
      <c r="K95" s="1"/>
      <c r="L95" s="1"/>
      <c r="M95" s="1"/>
      <c r="N95" s="1"/>
      <c r="O95" s="1"/>
      <c r="P95" s="1"/>
      <c r="Q95" s="1"/>
      <c r="R95" s="1"/>
      <c r="S95" s="1"/>
      <c r="T95" s="1"/>
      <c r="U95" s="1"/>
    </row>
    <row r="96" ht="15.75" customHeight="1">
      <c r="E96" s="1"/>
      <c r="F96" s="1"/>
      <c r="G96" s="1"/>
      <c r="H96" s="1"/>
      <c r="I96" s="1"/>
      <c r="J96" s="1"/>
      <c r="K96" s="1"/>
      <c r="L96" s="1"/>
      <c r="M96" s="1"/>
      <c r="N96" s="1"/>
      <c r="O96" s="1"/>
      <c r="P96" s="1"/>
      <c r="Q96" s="1"/>
      <c r="R96" s="1"/>
      <c r="S96" s="1"/>
      <c r="T96" s="1"/>
      <c r="U96" s="1"/>
    </row>
    <row r="97" ht="15.75" customHeight="1">
      <c r="E97" s="1"/>
      <c r="F97" s="1"/>
      <c r="G97" s="1"/>
      <c r="H97" s="1"/>
      <c r="I97" s="1"/>
      <c r="J97" s="1"/>
      <c r="K97" s="1"/>
      <c r="L97" s="1"/>
      <c r="M97" s="1"/>
      <c r="N97" s="1"/>
      <c r="O97" s="1"/>
      <c r="P97" s="1"/>
      <c r="Q97" s="1"/>
      <c r="R97" s="1"/>
      <c r="S97" s="1"/>
      <c r="T97" s="1"/>
      <c r="U97" s="1"/>
    </row>
    <row r="98" ht="15.75" customHeight="1">
      <c r="E98" s="1"/>
      <c r="F98" s="1"/>
      <c r="G98" s="1"/>
      <c r="H98" s="1"/>
      <c r="I98" s="1"/>
      <c r="J98" s="1"/>
      <c r="K98" s="1"/>
      <c r="L98" s="1"/>
      <c r="M98" s="1"/>
      <c r="N98" s="1"/>
      <c r="O98" s="1"/>
      <c r="P98" s="1"/>
      <c r="Q98" s="1"/>
      <c r="R98" s="1"/>
      <c r="S98" s="1"/>
      <c r="T98" s="1"/>
      <c r="U98" s="1"/>
    </row>
    <row r="99" ht="15.75" customHeight="1">
      <c r="E99" s="1"/>
      <c r="F99" s="1"/>
      <c r="G99" s="1"/>
      <c r="H99" s="1"/>
      <c r="I99" s="1"/>
      <c r="J99" s="1"/>
      <c r="K99" s="1"/>
      <c r="L99" s="1"/>
      <c r="M99" s="1"/>
      <c r="N99" s="1"/>
      <c r="O99" s="1"/>
      <c r="P99" s="1"/>
      <c r="Q99" s="1"/>
      <c r="R99" s="1"/>
      <c r="S99" s="1"/>
      <c r="T99" s="1"/>
      <c r="U99" s="1"/>
    </row>
    <row r="100" ht="15.75" customHeight="1">
      <c r="E100" s="1"/>
      <c r="F100" s="1"/>
      <c r="G100" s="1"/>
      <c r="H100" s="1"/>
      <c r="I100" s="1"/>
      <c r="J100" s="1"/>
      <c r="K100" s="1"/>
      <c r="L100" s="1"/>
      <c r="M100" s="1"/>
      <c r="N100" s="1"/>
      <c r="O100" s="1"/>
      <c r="P100" s="1"/>
      <c r="Q100" s="1"/>
      <c r="R100" s="1"/>
      <c r="S100" s="1"/>
      <c r="T100" s="1"/>
      <c r="U100" s="1"/>
    </row>
    <row r="101" ht="15.75" customHeight="1">
      <c r="E101" s="1"/>
      <c r="F101" s="1"/>
      <c r="G101" s="1"/>
      <c r="H101" s="1"/>
      <c r="I101" s="1"/>
      <c r="J101" s="1"/>
      <c r="K101" s="1"/>
      <c r="L101" s="1"/>
      <c r="M101" s="1"/>
      <c r="N101" s="1"/>
      <c r="O101" s="1"/>
      <c r="P101" s="1"/>
      <c r="Q101" s="1"/>
      <c r="R101" s="1"/>
      <c r="S101" s="1"/>
      <c r="T101" s="1"/>
      <c r="U101" s="1"/>
    </row>
    <row r="102" ht="15.75" customHeight="1">
      <c r="E102" s="1"/>
      <c r="F102" s="1"/>
      <c r="G102" s="1"/>
      <c r="H102" s="1"/>
      <c r="I102" s="1"/>
      <c r="J102" s="1"/>
      <c r="K102" s="1"/>
      <c r="L102" s="1"/>
      <c r="M102" s="1"/>
      <c r="N102" s="1"/>
      <c r="O102" s="1"/>
      <c r="P102" s="1"/>
      <c r="Q102" s="1"/>
      <c r="R102" s="1"/>
      <c r="S102" s="1"/>
      <c r="T102" s="1"/>
      <c r="U102" s="1"/>
    </row>
    <row r="103" ht="15.75" customHeight="1">
      <c r="E103" s="1"/>
      <c r="F103" s="1"/>
      <c r="G103" s="1"/>
      <c r="H103" s="1"/>
      <c r="I103" s="1"/>
      <c r="J103" s="1"/>
      <c r="K103" s="1"/>
      <c r="L103" s="1"/>
      <c r="M103" s="1"/>
      <c r="N103" s="1"/>
      <c r="O103" s="1"/>
      <c r="P103" s="1"/>
      <c r="Q103" s="1"/>
      <c r="R103" s="1"/>
      <c r="S103" s="1"/>
      <c r="T103" s="1"/>
      <c r="U103" s="1"/>
    </row>
    <row r="104" ht="15.75" customHeight="1">
      <c r="E104" s="1"/>
      <c r="F104" s="1"/>
      <c r="G104" s="1"/>
      <c r="H104" s="1"/>
      <c r="I104" s="1"/>
      <c r="J104" s="1"/>
      <c r="K104" s="1"/>
      <c r="L104" s="1"/>
      <c r="M104" s="1"/>
      <c r="N104" s="1"/>
      <c r="O104" s="1"/>
      <c r="P104" s="1"/>
      <c r="Q104" s="1"/>
      <c r="R104" s="1"/>
      <c r="S104" s="1"/>
      <c r="T104" s="1"/>
      <c r="U104" s="1"/>
    </row>
    <row r="105" ht="15.75" customHeight="1">
      <c r="E105" s="1"/>
      <c r="F105" s="1"/>
      <c r="G105" s="1"/>
      <c r="H105" s="1"/>
      <c r="I105" s="1"/>
      <c r="J105" s="1"/>
      <c r="K105" s="1"/>
      <c r="L105" s="1"/>
      <c r="M105" s="1"/>
      <c r="N105" s="1"/>
      <c r="O105" s="1"/>
      <c r="P105" s="1"/>
      <c r="Q105" s="1"/>
      <c r="R105" s="1"/>
      <c r="S105" s="1"/>
      <c r="T105" s="1"/>
      <c r="U105" s="1"/>
    </row>
    <row r="106" ht="15.75" customHeight="1">
      <c r="E106" s="1"/>
      <c r="F106" s="1"/>
      <c r="G106" s="1"/>
      <c r="H106" s="1"/>
      <c r="I106" s="1"/>
      <c r="J106" s="1"/>
      <c r="K106" s="1"/>
      <c r="L106" s="1"/>
      <c r="M106" s="1"/>
      <c r="N106" s="1"/>
      <c r="O106" s="1"/>
      <c r="P106" s="1"/>
      <c r="Q106" s="1"/>
      <c r="R106" s="1"/>
      <c r="S106" s="1"/>
      <c r="T106" s="1"/>
      <c r="U106" s="1"/>
    </row>
    <row r="107" ht="15.75" customHeight="1">
      <c r="E107" s="1"/>
      <c r="F107" s="1"/>
      <c r="G107" s="1"/>
      <c r="H107" s="1"/>
      <c r="I107" s="1"/>
      <c r="J107" s="1"/>
      <c r="K107" s="1"/>
      <c r="L107" s="1"/>
      <c r="M107" s="1"/>
      <c r="N107" s="1"/>
      <c r="O107" s="1"/>
      <c r="P107" s="1"/>
      <c r="Q107" s="1"/>
      <c r="R107" s="1"/>
      <c r="S107" s="1"/>
      <c r="T107" s="1"/>
      <c r="U107" s="1"/>
    </row>
    <row r="108" ht="15.75" customHeight="1">
      <c r="E108" s="1"/>
      <c r="F108" s="1"/>
      <c r="G108" s="1"/>
      <c r="H108" s="1"/>
      <c r="I108" s="1"/>
      <c r="J108" s="1"/>
      <c r="K108" s="1"/>
      <c r="L108" s="1"/>
      <c r="M108" s="1"/>
      <c r="N108" s="1"/>
      <c r="O108" s="1"/>
      <c r="P108" s="1"/>
      <c r="Q108" s="1"/>
      <c r="R108" s="1"/>
      <c r="S108" s="1"/>
      <c r="T108" s="1"/>
      <c r="U108" s="1"/>
    </row>
    <row r="109" ht="15.75" customHeight="1">
      <c r="E109" s="1"/>
      <c r="F109" s="1"/>
      <c r="G109" s="1"/>
      <c r="H109" s="1"/>
      <c r="I109" s="1"/>
      <c r="J109" s="1"/>
      <c r="K109" s="1"/>
      <c r="L109" s="1"/>
      <c r="M109" s="1"/>
      <c r="N109" s="1"/>
      <c r="O109" s="1"/>
      <c r="P109" s="1"/>
      <c r="Q109" s="1"/>
      <c r="R109" s="1"/>
      <c r="S109" s="1"/>
      <c r="T109" s="1"/>
      <c r="U109" s="1"/>
    </row>
    <row r="110" ht="15.75" customHeight="1">
      <c r="E110" s="1"/>
      <c r="F110" s="1"/>
      <c r="G110" s="1"/>
      <c r="H110" s="1"/>
      <c r="I110" s="1"/>
      <c r="J110" s="1"/>
      <c r="K110" s="1"/>
      <c r="L110" s="1"/>
      <c r="M110" s="1"/>
      <c r="N110" s="1"/>
      <c r="O110" s="1"/>
      <c r="P110" s="1"/>
      <c r="Q110" s="1"/>
      <c r="R110" s="1"/>
      <c r="S110" s="1"/>
      <c r="T110" s="1"/>
      <c r="U110" s="1"/>
    </row>
    <row r="111" ht="15.75" customHeight="1">
      <c r="E111" s="1"/>
      <c r="F111" s="1"/>
      <c r="G111" s="1"/>
      <c r="H111" s="1"/>
      <c r="I111" s="1"/>
      <c r="J111" s="1"/>
      <c r="K111" s="1"/>
      <c r="L111" s="1"/>
      <c r="M111" s="1"/>
      <c r="N111" s="1"/>
      <c r="O111" s="1"/>
      <c r="P111" s="1"/>
      <c r="Q111" s="1"/>
      <c r="R111" s="1"/>
      <c r="S111" s="1"/>
      <c r="T111" s="1"/>
      <c r="U111" s="1"/>
    </row>
    <row r="112" ht="15.75" customHeight="1">
      <c r="E112" s="1"/>
      <c r="F112" s="1"/>
      <c r="G112" s="1"/>
      <c r="H112" s="1"/>
      <c r="I112" s="1"/>
      <c r="J112" s="1"/>
      <c r="K112" s="1"/>
      <c r="L112" s="1"/>
      <c r="M112" s="1"/>
      <c r="N112" s="1"/>
      <c r="O112" s="1"/>
      <c r="P112" s="1"/>
      <c r="Q112" s="1"/>
      <c r="R112" s="1"/>
      <c r="S112" s="1"/>
      <c r="T112" s="1"/>
      <c r="U112" s="1"/>
    </row>
    <row r="113" ht="15.75" customHeight="1">
      <c r="E113" s="1"/>
      <c r="F113" s="1"/>
      <c r="G113" s="1"/>
      <c r="H113" s="1"/>
      <c r="I113" s="1"/>
      <c r="J113" s="1"/>
      <c r="K113" s="1"/>
      <c r="L113" s="1"/>
      <c r="M113" s="1"/>
      <c r="N113" s="1"/>
      <c r="O113" s="1"/>
      <c r="P113" s="1"/>
      <c r="Q113" s="1"/>
      <c r="R113" s="1"/>
      <c r="S113" s="1"/>
      <c r="T113" s="1"/>
      <c r="U113" s="1"/>
    </row>
    <row r="114" ht="15.75" customHeight="1">
      <c r="E114" s="1"/>
      <c r="F114" s="1"/>
      <c r="G114" s="1"/>
      <c r="H114" s="1"/>
      <c r="I114" s="1"/>
      <c r="J114" s="1"/>
      <c r="K114" s="1"/>
      <c r="L114" s="1"/>
      <c r="M114" s="1"/>
      <c r="N114" s="1"/>
      <c r="O114" s="1"/>
      <c r="P114" s="1"/>
      <c r="Q114" s="1"/>
      <c r="R114" s="1"/>
      <c r="S114" s="1"/>
      <c r="T114" s="1"/>
      <c r="U114" s="1"/>
    </row>
    <row r="115" ht="15.75" customHeight="1">
      <c r="E115" s="1"/>
      <c r="F115" s="1"/>
      <c r="G115" s="1"/>
      <c r="H115" s="1"/>
      <c r="I115" s="1"/>
      <c r="J115" s="1"/>
      <c r="K115" s="1"/>
      <c r="L115" s="1"/>
      <c r="M115" s="1"/>
      <c r="N115" s="1"/>
      <c r="O115" s="1"/>
      <c r="P115" s="1"/>
      <c r="Q115" s="1"/>
      <c r="R115" s="1"/>
      <c r="S115" s="1"/>
      <c r="T115" s="1"/>
      <c r="U115" s="1"/>
    </row>
    <row r="116" ht="15.75" customHeight="1">
      <c r="E116" s="1"/>
      <c r="F116" s="1"/>
      <c r="G116" s="1"/>
      <c r="H116" s="1"/>
      <c r="I116" s="1"/>
      <c r="J116" s="1"/>
      <c r="K116" s="1"/>
      <c r="L116" s="1"/>
      <c r="M116" s="1"/>
      <c r="N116" s="1"/>
      <c r="O116" s="1"/>
      <c r="P116" s="1"/>
      <c r="Q116" s="1"/>
      <c r="R116" s="1"/>
      <c r="S116" s="1"/>
      <c r="T116" s="1"/>
      <c r="U116" s="1"/>
    </row>
    <row r="117" ht="15.75" customHeight="1">
      <c r="E117" s="1"/>
      <c r="F117" s="1"/>
      <c r="G117" s="1"/>
      <c r="H117" s="1"/>
      <c r="I117" s="1"/>
      <c r="J117" s="1"/>
      <c r="K117" s="1"/>
      <c r="L117" s="1"/>
      <c r="M117" s="1"/>
      <c r="N117" s="1"/>
      <c r="O117" s="1"/>
      <c r="P117" s="1"/>
      <c r="Q117" s="1"/>
      <c r="R117" s="1"/>
      <c r="S117" s="1"/>
      <c r="T117" s="1"/>
      <c r="U117" s="1"/>
    </row>
    <row r="118" ht="15.75" customHeight="1">
      <c r="E118" s="1"/>
      <c r="F118" s="1"/>
      <c r="G118" s="1"/>
      <c r="H118" s="1"/>
      <c r="I118" s="1"/>
      <c r="J118" s="1"/>
      <c r="K118" s="1"/>
      <c r="L118" s="1"/>
      <c r="M118" s="1"/>
      <c r="N118" s="1"/>
      <c r="O118" s="1"/>
      <c r="P118" s="1"/>
      <c r="Q118" s="1"/>
      <c r="R118" s="1"/>
      <c r="S118" s="1"/>
      <c r="T118" s="1"/>
      <c r="U118" s="1"/>
    </row>
    <row r="119" ht="15.75" customHeight="1">
      <c r="E119" s="1"/>
      <c r="F119" s="1"/>
      <c r="G119" s="1"/>
      <c r="H119" s="1"/>
      <c r="I119" s="1"/>
      <c r="J119" s="1"/>
      <c r="K119" s="1"/>
      <c r="L119" s="1"/>
      <c r="M119" s="1"/>
      <c r="N119" s="1"/>
      <c r="O119" s="1"/>
      <c r="P119" s="1"/>
      <c r="Q119" s="1"/>
      <c r="R119" s="1"/>
      <c r="S119" s="1"/>
      <c r="T119" s="1"/>
      <c r="U119" s="1"/>
    </row>
    <row r="120" ht="15.75" customHeight="1">
      <c r="E120" s="1"/>
      <c r="F120" s="1"/>
      <c r="G120" s="1"/>
      <c r="H120" s="1"/>
      <c r="I120" s="1"/>
      <c r="J120" s="1"/>
      <c r="K120" s="1"/>
      <c r="L120" s="1"/>
      <c r="M120" s="1"/>
      <c r="N120" s="1"/>
      <c r="O120" s="1"/>
      <c r="P120" s="1"/>
      <c r="Q120" s="1"/>
      <c r="R120" s="1"/>
      <c r="S120" s="1"/>
      <c r="T120" s="1"/>
      <c r="U120" s="1"/>
    </row>
    <row r="121" ht="15.75" customHeight="1">
      <c r="E121" s="1"/>
      <c r="F121" s="1"/>
      <c r="G121" s="1"/>
      <c r="H121" s="1"/>
      <c r="I121" s="1"/>
      <c r="J121" s="1"/>
      <c r="K121" s="1"/>
      <c r="L121" s="1"/>
      <c r="M121" s="1"/>
      <c r="N121" s="1"/>
      <c r="O121" s="1"/>
      <c r="P121" s="1"/>
      <c r="Q121" s="1"/>
      <c r="R121" s="1"/>
      <c r="S121" s="1"/>
      <c r="T121" s="1"/>
      <c r="U121" s="1"/>
    </row>
    <row r="122" ht="15.75" customHeight="1">
      <c r="E122" s="98"/>
      <c r="F122" s="98"/>
      <c r="G122" s="98"/>
      <c r="H122" s="98"/>
      <c r="I122" s="98"/>
      <c r="J122" s="98"/>
      <c r="K122" s="98"/>
      <c r="L122" s="98"/>
      <c r="M122" s="98"/>
      <c r="N122" s="98"/>
      <c r="O122" s="98"/>
      <c r="P122" s="98"/>
      <c r="Q122" s="98"/>
      <c r="R122" s="98"/>
      <c r="S122" s="98"/>
      <c r="T122" s="98"/>
      <c r="U122" s="98"/>
    </row>
    <row r="123" ht="15.75" customHeight="1">
      <c r="E123" s="98"/>
      <c r="F123" s="98"/>
      <c r="G123" s="98"/>
      <c r="H123" s="98"/>
      <c r="I123" s="98"/>
      <c r="J123" s="98"/>
      <c r="K123" s="98"/>
      <c r="L123" s="98"/>
      <c r="M123" s="98"/>
      <c r="N123" s="98"/>
      <c r="O123" s="98"/>
      <c r="P123" s="98"/>
      <c r="Q123" s="98"/>
      <c r="R123" s="98"/>
      <c r="S123" s="98"/>
      <c r="T123" s="98"/>
      <c r="U123" s="98"/>
    </row>
    <row r="124" ht="15.75" customHeight="1">
      <c r="E124" s="98"/>
      <c r="F124" s="98"/>
      <c r="G124" s="98"/>
      <c r="H124" s="98"/>
      <c r="I124" s="98"/>
      <c r="J124" s="98"/>
      <c r="K124" s="98"/>
      <c r="L124" s="98"/>
      <c r="M124" s="98"/>
      <c r="N124" s="98"/>
      <c r="O124" s="98"/>
      <c r="P124" s="98"/>
      <c r="Q124" s="98"/>
      <c r="R124" s="98"/>
      <c r="S124" s="98"/>
      <c r="T124" s="98"/>
      <c r="U124" s="98"/>
    </row>
    <row r="125" ht="15.75" customHeight="1">
      <c r="E125" s="98"/>
      <c r="F125" s="98"/>
      <c r="G125" s="98"/>
      <c r="H125" s="98"/>
      <c r="I125" s="98"/>
      <c r="J125" s="98"/>
      <c r="K125" s="98"/>
      <c r="L125" s="98"/>
      <c r="M125" s="98"/>
      <c r="N125" s="98"/>
      <c r="O125" s="98"/>
      <c r="P125" s="98"/>
      <c r="Q125" s="98"/>
      <c r="R125" s="98"/>
      <c r="S125" s="98"/>
      <c r="T125" s="98"/>
      <c r="U125" s="98"/>
    </row>
    <row r="126" ht="15.75" customHeight="1">
      <c r="E126" s="98"/>
      <c r="F126" s="98"/>
      <c r="G126" s="98"/>
      <c r="H126" s="98"/>
      <c r="I126" s="98"/>
      <c r="J126" s="98"/>
      <c r="K126" s="98"/>
      <c r="L126" s="98"/>
      <c r="M126" s="98"/>
      <c r="N126" s="98"/>
      <c r="O126" s="98"/>
      <c r="P126" s="98"/>
      <c r="Q126" s="98"/>
      <c r="R126" s="98"/>
      <c r="S126" s="98"/>
      <c r="T126" s="98"/>
      <c r="U126" s="98"/>
    </row>
    <row r="127" ht="15.75" customHeight="1">
      <c r="E127" s="98"/>
      <c r="F127" s="98"/>
      <c r="G127" s="98"/>
      <c r="H127" s="98"/>
      <c r="I127" s="98"/>
      <c r="J127" s="98"/>
      <c r="K127" s="98"/>
      <c r="L127" s="98"/>
      <c r="M127" s="98"/>
      <c r="N127" s="98"/>
      <c r="O127" s="98"/>
      <c r="P127" s="98"/>
      <c r="Q127" s="98"/>
      <c r="R127" s="98"/>
      <c r="S127" s="98"/>
      <c r="T127" s="98"/>
      <c r="U127" s="98"/>
    </row>
    <row r="128" ht="15.75" customHeight="1">
      <c r="E128" s="98"/>
      <c r="F128" s="98"/>
      <c r="G128" s="98"/>
      <c r="H128" s="98"/>
      <c r="I128" s="98"/>
      <c r="J128" s="98"/>
      <c r="K128" s="98"/>
      <c r="L128" s="98"/>
      <c r="M128" s="98"/>
      <c r="N128" s="98"/>
      <c r="O128" s="98"/>
      <c r="P128" s="98"/>
      <c r="Q128" s="98"/>
      <c r="R128" s="98"/>
      <c r="S128" s="98"/>
      <c r="T128" s="98"/>
      <c r="U128" s="98"/>
    </row>
    <row r="129" ht="15.75" customHeight="1">
      <c r="E129" s="98"/>
      <c r="F129" s="98"/>
      <c r="G129" s="98"/>
      <c r="H129" s="98"/>
      <c r="I129" s="98"/>
      <c r="J129" s="98"/>
      <c r="K129" s="98"/>
      <c r="L129" s="98"/>
      <c r="M129" s="98"/>
      <c r="N129" s="98"/>
      <c r="O129" s="98"/>
      <c r="P129" s="98"/>
      <c r="Q129" s="98"/>
      <c r="R129" s="98"/>
      <c r="S129" s="98"/>
      <c r="T129" s="98"/>
      <c r="U129" s="98"/>
    </row>
    <row r="130" ht="15.75" customHeight="1">
      <c r="E130" s="98"/>
      <c r="F130" s="98"/>
      <c r="G130" s="98"/>
      <c r="H130" s="98"/>
      <c r="I130" s="98"/>
      <c r="J130" s="98"/>
      <c r="K130" s="98"/>
      <c r="L130" s="98"/>
      <c r="M130" s="98"/>
      <c r="N130" s="98"/>
      <c r="O130" s="98"/>
      <c r="P130" s="98"/>
      <c r="Q130" s="98"/>
      <c r="R130" s="98"/>
      <c r="S130" s="98"/>
      <c r="T130" s="98"/>
      <c r="U130" s="98"/>
    </row>
    <row r="131" ht="15.75" customHeight="1">
      <c r="E131" s="98"/>
      <c r="F131" s="98"/>
      <c r="G131" s="98"/>
      <c r="H131" s="98"/>
      <c r="I131" s="98"/>
      <c r="J131" s="98"/>
      <c r="K131" s="98"/>
      <c r="L131" s="98"/>
      <c r="M131" s="98"/>
      <c r="N131" s="98"/>
      <c r="O131" s="98"/>
      <c r="P131" s="98"/>
      <c r="Q131" s="98"/>
      <c r="R131" s="98"/>
      <c r="S131" s="98"/>
      <c r="T131" s="98"/>
      <c r="U131" s="98"/>
    </row>
    <row r="132" ht="15.75" customHeight="1">
      <c r="E132" s="98"/>
      <c r="F132" s="98"/>
      <c r="G132" s="98"/>
      <c r="H132" s="98"/>
      <c r="I132" s="98"/>
      <c r="J132" s="98"/>
      <c r="K132" s="98"/>
      <c r="L132" s="98"/>
      <c r="M132" s="98"/>
      <c r="N132" s="98"/>
      <c r="O132" s="98"/>
      <c r="P132" s="98"/>
      <c r="Q132" s="98"/>
      <c r="R132" s="98"/>
      <c r="S132" s="98"/>
      <c r="T132" s="98"/>
      <c r="U132" s="98"/>
    </row>
    <row r="133" ht="15.75" customHeight="1">
      <c r="E133" s="98"/>
      <c r="F133" s="98"/>
      <c r="G133" s="98"/>
      <c r="H133" s="98"/>
      <c r="I133" s="98"/>
      <c r="J133" s="98"/>
      <c r="K133" s="98"/>
      <c r="L133" s="98"/>
      <c r="M133" s="98"/>
      <c r="N133" s="98"/>
      <c r="O133" s="98"/>
      <c r="P133" s="98"/>
      <c r="Q133" s="98"/>
      <c r="R133" s="98"/>
      <c r="S133" s="98"/>
      <c r="T133" s="98"/>
      <c r="U133" s="98"/>
    </row>
    <row r="134" ht="15.75" customHeight="1">
      <c r="E134" s="98"/>
      <c r="F134" s="98"/>
      <c r="G134" s="98"/>
      <c r="H134" s="98"/>
      <c r="I134" s="98"/>
      <c r="J134" s="98"/>
      <c r="K134" s="98"/>
      <c r="L134" s="98"/>
      <c r="M134" s="98"/>
      <c r="N134" s="98"/>
      <c r="O134" s="98"/>
      <c r="P134" s="98"/>
      <c r="Q134" s="98"/>
      <c r="R134" s="98"/>
      <c r="S134" s="98"/>
      <c r="T134" s="98"/>
      <c r="U134" s="98"/>
    </row>
    <row r="135" ht="15.75" customHeight="1">
      <c r="E135" s="98"/>
      <c r="F135" s="98"/>
      <c r="G135" s="98"/>
      <c r="H135" s="98"/>
      <c r="I135" s="98"/>
      <c r="J135" s="98"/>
      <c r="K135" s="98"/>
      <c r="L135" s="98"/>
      <c r="M135" s="98"/>
      <c r="N135" s="98"/>
      <c r="O135" s="98"/>
      <c r="P135" s="98"/>
      <c r="Q135" s="98"/>
      <c r="R135" s="98"/>
      <c r="S135" s="98"/>
      <c r="T135" s="98"/>
      <c r="U135" s="98"/>
    </row>
    <row r="136" ht="15.75" customHeight="1">
      <c r="E136" s="98"/>
      <c r="F136" s="98"/>
      <c r="G136" s="98"/>
      <c r="H136" s="98"/>
      <c r="I136" s="98"/>
      <c r="J136" s="98"/>
      <c r="K136" s="98"/>
      <c r="L136" s="98"/>
      <c r="M136" s="98"/>
      <c r="N136" s="98"/>
      <c r="O136" s="98"/>
      <c r="P136" s="98"/>
      <c r="Q136" s="98"/>
      <c r="R136" s="98"/>
      <c r="S136" s="98"/>
      <c r="T136" s="98"/>
      <c r="U136" s="98"/>
    </row>
    <row r="137" ht="15.75" customHeight="1">
      <c r="E137" s="98"/>
      <c r="F137" s="98"/>
      <c r="G137" s="98"/>
      <c r="H137" s="98"/>
      <c r="I137" s="98"/>
      <c r="J137" s="98"/>
      <c r="K137" s="98"/>
      <c r="L137" s="98"/>
      <c r="M137" s="98"/>
      <c r="N137" s="98"/>
      <c r="O137" s="98"/>
      <c r="P137" s="98"/>
      <c r="Q137" s="98"/>
      <c r="R137" s="98"/>
      <c r="S137" s="98"/>
      <c r="T137" s="98"/>
      <c r="U137" s="98"/>
    </row>
    <row r="138" ht="15.75" customHeight="1">
      <c r="E138" s="98"/>
      <c r="F138" s="98"/>
      <c r="G138" s="98"/>
      <c r="H138" s="98"/>
      <c r="I138" s="98"/>
      <c r="J138" s="98"/>
      <c r="K138" s="98"/>
      <c r="L138" s="98"/>
      <c r="M138" s="98"/>
      <c r="N138" s="98"/>
      <c r="O138" s="98"/>
      <c r="P138" s="98"/>
      <c r="Q138" s="98"/>
      <c r="R138" s="98"/>
      <c r="S138" s="98"/>
      <c r="T138" s="98"/>
      <c r="U138" s="98"/>
    </row>
    <row r="139" ht="15.75" customHeight="1">
      <c r="E139" s="98"/>
      <c r="F139" s="98"/>
      <c r="G139" s="98"/>
      <c r="H139" s="98"/>
      <c r="I139" s="98"/>
      <c r="J139" s="98"/>
      <c r="K139" s="98"/>
      <c r="L139" s="98"/>
      <c r="M139" s="98"/>
      <c r="N139" s="98"/>
      <c r="O139" s="98"/>
      <c r="P139" s="98"/>
      <c r="Q139" s="98"/>
      <c r="R139" s="98"/>
      <c r="S139" s="98"/>
      <c r="T139" s="98"/>
      <c r="U139" s="98"/>
    </row>
    <row r="140" ht="15.75" customHeight="1">
      <c r="E140" s="98"/>
      <c r="F140" s="98"/>
      <c r="G140" s="98"/>
      <c r="H140" s="98"/>
      <c r="I140" s="98"/>
      <c r="J140" s="98"/>
      <c r="K140" s="98"/>
      <c r="L140" s="98"/>
      <c r="M140" s="98"/>
      <c r="N140" s="98"/>
      <c r="O140" s="98"/>
      <c r="P140" s="98"/>
      <c r="Q140" s="98"/>
      <c r="R140" s="98"/>
      <c r="S140" s="98"/>
      <c r="T140" s="98"/>
      <c r="U140" s="98"/>
    </row>
    <row r="141" ht="15.75" customHeight="1">
      <c r="E141" s="98"/>
      <c r="F141" s="98"/>
      <c r="G141" s="98"/>
      <c r="H141" s="98"/>
      <c r="I141" s="98"/>
      <c r="J141" s="98"/>
      <c r="K141" s="98"/>
      <c r="L141" s="98"/>
      <c r="M141" s="98"/>
      <c r="N141" s="98"/>
      <c r="O141" s="98"/>
      <c r="P141" s="98"/>
      <c r="Q141" s="98"/>
      <c r="R141" s="98"/>
      <c r="S141" s="98"/>
      <c r="T141" s="98"/>
      <c r="U141" s="98"/>
    </row>
    <row r="142" ht="15.75" customHeight="1">
      <c r="E142" s="98"/>
      <c r="F142" s="98"/>
      <c r="G142" s="98"/>
      <c r="H142" s="98"/>
      <c r="I142" s="98"/>
      <c r="J142" s="98"/>
      <c r="K142" s="98"/>
      <c r="L142" s="98"/>
      <c r="M142" s="98"/>
      <c r="N142" s="98"/>
      <c r="O142" s="98"/>
      <c r="P142" s="98"/>
      <c r="Q142" s="98"/>
      <c r="R142" s="98"/>
      <c r="S142" s="98"/>
      <c r="T142" s="98"/>
      <c r="U142" s="98"/>
    </row>
    <row r="143" ht="15.75" customHeight="1">
      <c r="E143" s="98"/>
      <c r="F143" s="98"/>
      <c r="G143" s="98"/>
      <c r="H143" s="98"/>
      <c r="I143" s="98"/>
      <c r="J143" s="98"/>
      <c r="K143" s="98"/>
      <c r="L143" s="98"/>
      <c r="M143" s="98"/>
      <c r="N143" s="98"/>
      <c r="O143" s="98"/>
      <c r="P143" s="98"/>
      <c r="Q143" s="98"/>
      <c r="R143" s="98"/>
      <c r="S143" s="98"/>
      <c r="T143" s="98"/>
      <c r="U143" s="98"/>
    </row>
    <row r="144" ht="15.75" customHeight="1">
      <c r="E144" s="98"/>
      <c r="F144" s="98"/>
      <c r="G144" s="98"/>
      <c r="H144" s="98"/>
      <c r="I144" s="98"/>
      <c r="J144" s="98"/>
      <c r="K144" s="98"/>
      <c r="L144" s="98"/>
      <c r="M144" s="98"/>
      <c r="N144" s="98"/>
      <c r="O144" s="98"/>
      <c r="P144" s="98"/>
      <c r="Q144" s="98"/>
      <c r="R144" s="98"/>
      <c r="S144" s="98"/>
      <c r="T144" s="98"/>
      <c r="U144" s="98"/>
    </row>
    <row r="145" ht="15.75" customHeight="1">
      <c r="E145" s="98"/>
      <c r="F145" s="98"/>
      <c r="G145" s="98"/>
      <c r="H145" s="98"/>
      <c r="I145" s="98"/>
      <c r="J145" s="98"/>
      <c r="K145" s="98"/>
      <c r="L145" s="98"/>
      <c r="M145" s="98"/>
      <c r="N145" s="98"/>
      <c r="O145" s="98"/>
      <c r="P145" s="98"/>
      <c r="Q145" s="98"/>
      <c r="R145" s="98"/>
      <c r="S145" s="98"/>
      <c r="T145" s="98"/>
      <c r="U145" s="98"/>
    </row>
    <row r="146" ht="15.75" customHeight="1">
      <c r="E146" s="98"/>
      <c r="F146" s="98"/>
      <c r="G146" s="98"/>
      <c r="H146" s="98"/>
      <c r="I146" s="98"/>
      <c r="J146" s="98"/>
      <c r="K146" s="98"/>
      <c r="L146" s="98"/>
      <c r="M146" s="98"/>
      <c r="N146" s="98"/>
      <c r="O146" s="98"/>
      <c r="P146" s="98"/>
      <c r="Q146" s="98"/>
      <c r="R146" s="98"/>
      <c r="S146" s="98"/>
      <c r="T146" s="98"/>
      <c r="U146" s="98"/>
    </row>
    <row r="147" ht="15.75" customHeight="1">
      <c r="E147" s="98"/>
      <c r="F147" s="98"/>
      <c r="G147" s="98"/>
      <c r="H147" s="98"/>
      <c r="I147" s="98"/>
      <c r="J147" s="98"/>
      <c r="K147" s="98"/>
      <c r="L147" s="98"/>
      <c r="M147" s="98"/>
      <c r="N147" s="98"/>
      <c r="O147" s="98"/>
      <c r="P147" s="98"/>
      <c r="Q147" s="98"/>
      <c r="R147" s="98"/>
      <c r="S147" s="98"/>
      <c r="T147" s="98"/>
      <c r="U147" s="98"/>
    </row>
    <row r="148" ht="15.75" customHeight="1">
      <c r="E148" s="98"/>
      <c r="F148" s="98"/>
      <c r="G148" s="98"/>
      <c r="H148" s="98"/>
      <c r="I148" s="98"/>
      <c r="J148" s="98"/>
      <c r="K148" s="98"/>
      <c r="L148" s="98"/>
      <c r="M148" s="98"/>
      <c r="N148" s="98"/>
      <c r="O148" s="98"/>
      <c r="P148" s="98"/>
      <c r="Q148" s="98"/>
      <c r="R148" s="98"/>
      <c r="S148" s="98"/>
      <c r="T148" s="98"/>
      <c r="U148" s="98"/>
    </row>
    <row r="149" ht="15.75" customHeight="1">
      <c r="E149" s="98"/>
      <c r="F149" s="98"/>
      <c r="G149" s="98"/>
      <c r="H149" s="98"/>
      <c r="I149" s="98"/>
      <c r="J149" s="98"/>
      <c r="K149" s="98"/>
      <c r="L149" s="98"/>
      <c r="M149" s="98"/>
      <c r="N149" s="98"/>
      <c r="O149" s="98"/>
      <c r="P149" s="98"/>
      <c r="Q149" s="98"/>
      <c r="R149" s="98"/>
      <c r="S149" s="98"/>
      <c r="T149" s="98"/>
      <c r="U149" s="98"/>
    </row>
    <row r="150" ht="15.75" customHeight="1">
      <c r="E150" s="98"/>
      <c r="F150" s="98"/>
      <c r="G150" s="98"/>
      <c r="H150" s="98"/>
      <c r="I150" s="98"/>
      <c r="J150" s="98"/>
      <c r="K150" s="98"/>
      <c r="L150" s="98"/>
      <c r="M150" s="98"/>
      <c r="N150" s="98"/>
      <c r="O150" s="98"/>
      <c r="P150" s="98"/>
      <c r="Q150" s="98"/>
      <c r="R150" s="98"/>
      <c r="S150" s="98"/>
      <c r="T150" s="98"/>
      <c r="U150" s="98"/>
    </row>
    <row r="151" ht="15.75" customHeight="1">
      <c r="E151" s="98"/>
      <c r="F151" s="98"/>
      <c r="G151" s="98"/>
      <c r="H151" s="98"/>
      <c r="I151" s="98"/>
      <c r="J151" s="98"/>
      <c r="K151" s="98"/>
      <c r="L151" s="98"/>
      <c r="M151" s="98"/>
      <c r="N151" s="98"/>
      <c r="O151" s="98"/>
      <c r="P151" s="98"/>
      <c r="Q151" s="98"/>
      <c r="R151" s="98"/>
      <c r="S151" s="98"/>
      <c r="T151" s="98"/>
      <c r="U151" s="98"/>
    </row>
    <row r="152" ht="15.75" customHeight="1">
      <c r="E152" s="98"/>
      <c r="F152" s="98"/>
      <c r="G152" s="98"/>
      <c r="H152" s="98"/>
      <c r="I152" s="98"/>
      <c r="J152" s="98"/>
      <c r="K152" s="98"/>
      <c r="L152" s="98"/>
      <c r="M152" s="98"/>
      <c r="N152" s="98"/>
      <c r="O152" s="98"/>
      <c r="P152" s="98"/>
      <c r="Q152" s="98"/>
      <c r="R152" s="98"/>
      <c r="S152" s="98"/>
      <c r="T152" s="98"/>
      <c r="U152" s="98"/>
    </row>
    <row r="153" ht="15.75" customHeight="1">
      <c r="E153" s="98"/>
      <c r="F153" s="98"/>
      <c r="G153" s="98"/>
      <c r="H153" s="98"/>
      <c r="I153" s="98"/>
      <c r="J153" s="98"/>
      <c r="K153" s="98"/>
      <c r="L153" s="98"/>
      <c r="M153" s="98"/>
      <c r="N153" s="98"/>
      <c r="O153" s="98"/>
      <c r="P153" s="98"/>
      <c r="Q153" s="98"/>
      <c r="R153" s="98"/>
      <c r="S153" s="98"/>
      <c r="T153" s="98"/>
      <c r="U153" s="98"/>
    </row>
    <row r="154" ht="15.75" customHeight="1">
      <c r="E154" s="98"/>
      <c r="F154" s="98"/>
      <c r="G154" s="98"/>
      <c r="H154" s="98"/>
      <c r="I154" s="98"/>
      <c r="J154" s="98"/>
      <c r="K154" s="98"/>
      <c r="L154" s="98"/>
      <c r="M154" s="98"/>
      <c r="N154" s="98"/>
      <c r="O154" s="98"/>
      <c r="P154" s="98"/>
      <c r="Q154" s="98"/>
      <c r="R154" s="98"/>
      <c r="S154" s="98"/>
      <c r="T154" s="98"/>
      <c r="U154" s="98"/>
    </row>
    <row r="155" ht="15.75" customHeight="1">
      <c r="E155" s="98"/>
      <c r="F155" s="98"/>
      <c r="G155" s="98"/>
      <c r="H155" s="98"/>
      <c r="I155" s="98"/>
      <c r="J155" s="98"/>
      <c r="K155" s="98"/>
      <c r="L155" s="98"/>
      <c r="M155" s="98"/>
      <c r="N155" s="98"/>
      <c r="O155" s="98"/>
      <c r="P155" s="98"/>
      <c r="Q155" s="98"/>
      <c r="R155" s="98"/>
      <c r="S155" s="98"/>
      <c r="T155" s="98"/>
      <c r="U155" s="98"/>
    </row>
    <row r="156" ht="15.75" customHeight="1">
      <c r="E156" s="98"/>
      <c r="F156" s="98"/>
      <c r="G156" s="98"/>
      <c r="H156" s="98"/>
      <c r="I156" s="98"/>
      <c r="J156" s="98"/>
      <c r="K156" s="98"/>
      <c r="L156" s="98"/>
      <c r="M156" s="98"/>
      <c r="N156" s="98"/>
      <c r="O156" s="98"/>
      <c r="P156" s="98"/>
      <c r="Q156" s="98"/>
      <c r="R156" s="98"/>
      <c r="S156" s="98"/>
      <c r="T156" s="98"/>
      <c r="U156" s="98"/>
    </row>
    <row r="157" ht="15.75" customHeight="1">
      <c r="E157" s="98"/>
      <c r="F157" s="98"/>
      <c r="G157" s="98"/>
      <c r="H157" s="98"/>
      <c r="I157" s="98"/>
      <c r="J157" s="98"/>
      <c r="K157" s="98"/>
      <c r="L157" s="98"/>
      <c r="M157" s="98"/>
      <c r="N157" s="98"/>
      <c r="O157" s="98"/>
      <c r="P157" s="98"/>
      <c r="Q157" s="98"/>
      <c r="R157" s="98"/>
      <c r="S157" s="98"/>
      <c r="T157" s="98"/>
      <c r="U157" s="98"/>
    </row>
    <row r="158" ht="15.75" customHeight="1">
      <c r="E158" s="98"/>
      <c r="F158" s="98"/>
      <c r="G158" s="98"/>
      <c r="H158" s="98"/>
      <c r="I158" s="98"/>
      <c r="J158" s="98"/>
      <c r="K158" s="98"/>
      <c r="L158" s="98"/>
      <c r="M158" s="98"/>
      <c r="N158" s="98"/>
      <c r="O158" s="98"/>
      <c r="P158" s="98"/>
      <c r="Q158" s="98"/>
      <c r="R158" s="98"/>
      <c r="S158" s="98"/>
      <c r="T158" s="98"/>
      <c r="U158" s="98"/>
    </row>
    <row r="159" ht="15.75" customHeight="1">
      <c r="E159" s="98"/>
      <c r="F159" s="98"/>
      <c r="G159" s="98"/>
      <c r="H159" s="98"/>
      <c r="I159" s="98"/>
      <c r="J159" s="98"/>
      <c r="K159" s="98"/>
      <c r="L159" s="98"/>
      <c r="M159" s="98"/>
      <c r="N159" s="98"/>
      <c r="O159" s="98"/>
      <c r="P159" s="98"/>
      <c r="Q159" s="98"/>
      <c r="R159" s="98"/>
      <c r="S159" s="98"/>
      <c r="T159" s="98"/>
      <c r="U159" s="98"/>
    </row>
    <row r="160" ht="15.75" customHeight="1">
      <c r="E160" s="98"/>
      <c r="F160" s="98"/>
      <c r="G160" s="98"/>
      <c r="H160" s="98"/>
      <c r="I160" s="98"/>
      <c r="J160" s="98"/>
      <c r="K160" s="98"/>
      <c r="L160" s="98"/>
      <c r="M160" s="98"/>
      <c r="N160" s="98"/>
      <c r="O160" s="98"/>
      <c r="P160" s="98"/>
      <c r="Q160" s="98"/>
      <c r="R160" s="98"/>
      <c r="S160" s="98"/>
      <c r="T160" s="98"/>
      <c r="U160" s="98"/>
    </row>
    <row r="161" ht="15.75" customHeight="1">
      <c r="E161" s="98"/>
      <c r="F161" s="98"/>
      <c r="G161" s="98"/>
      <c r="H161" s="98"/>
      <c r="I161" s="98"/>
      <c r="J161" s="98"/>
      <c r="K161" s="98"/>
      <c r="L161" s="98"/>
      <c r="M161" s="98"/>
      <c r="N161" s="98"/>
      <c r="O161" s="98"/>
      <c r="P161" s="98"/>
      <c r="Q161" s="98"/>
      <c r="R161" s="98"/>
      <c r="S161" s="98"/>
      <c r="T161" s="98"/>
      <c r="U161" s="98"/>
    </row>
    <row r="162" ht="15.75" customHeight="1">
      <c r="E162" s="98"/>
      <c r="F162" s="98"/>
      <c r="G162" s="98"/>
      <c r="H162" s="98"/>
      <c r="I162" s="98"/>
      <c r="J162" s="98"/>
      <c r="K162" s="98"/>
      <c r="L162" s="98"/>
      <c r="M162" s="98"/>
      <c r="N162" s="98"/>
      <c r="O162" s="98"/>
      <c r="P162" s="98"/>
      <c r="Q162" s="98"/>
      <c r="R162" s="98"/>
      <c r="S162" s="98"/>
      <c r="T162" s="98"/>
      <c r="U162" s="98"/>
    </row>
    <row r="163" ht="15.75" customHeight="1">
      <c r="E163" s="98"/>
      <c r="F163" s="98"/>
      <c r="G163" s="98"/>
      <c r="H163" s="98"/>
      <c r="I163" s="98"/>
      <c r="J163" s="98"/>
      <c r="K163" s="98"/>
      <c r="L163" s="98"/>
      <c r="M163" s="98"/>
      <c r="N163" s="98"/>
      <c r="O163" s="98"/>
      <c r="P163" s="98"/>
      <c r="Q163" s="98"/>
      <c r="R163" s="98"/>
      <c r="S163" s="98"/>
      <c r="T163" s="98"/>
      <c r="U163" s="98"/>
    </row>
    <row r="164" ht="15.75" customHeight="1">
      <c r="E164" s="98"/>
      <c r="F164" s="98"/>
      <c r="G164" s="98"/>
      <c r="H164" s="98"/>
      <c r="I164" s="98"/>
      <c r="J164" s="98"/>
      <c r="K164" s="98"/>
      <c r="L164" s="98"/>
      <c r="M164" s="98"/>
      <c r="N164" s="98"/>
      <c r="O164" s="98"/>
      <c r="P164" s="98"/>
      <c r="Q164" s="98"/>
      <c r="R164" s="98"/>
      <c r="S164" s="98"/>
      <c r="T164" s="98"/>
      <c r="U164" s="98"/>
    </row>
    <row r="165" ht="15.75" customHeight="1">
      <c r="E165" s="98"/>
      <c r="F165" s="98"/>
      <c r="G165" s="98"/>
      <c r="H165" s="98"/>
      <c r="I165" s="98"/>
      <c r="J165" s="98"/>
      <c r="K165" s="98"/>
      <c r="L165" s="98"/>
      <c r="M165" s="98"/>
      <c r="N165" s="98"/>
      <c r="O165" s="98"/>
      <c r="P165" s="98"/>
      <c r="Q165" s="98"/>
      <c r="R165" s="98"/>
      <c r="S165" s="98"/>
      <c r="T165" s="98"/>
      <c r="U165" s="98"/>
    </row>
    <row r="166" ht="15.75" customHeight="1">
      <c r="E166" s="98"/>
      <c r="F166" s="98"/>
      <c r="G166" s="98"/>
      <c r="H166" s="98"/>
      <c r="I166" s="98"/>
      <c r="J166" s="98"/>
      <c r="K166" s="98"/>
      <c r="L166" s="98"/>
      <c r="M166" s="98"/>
      <c r="N166" s="98"/>
      <c r="O166" s="98"/>
      <c r="P166" s="98"/>
      <c r="Q166" s="98"/>
      <c r="R166" s="98"/>
      <c r="S166" s="98"/>
      <c r="T166" s="98"/>
      <c r="U166" s="98"/>
    </row>
    <row r="167" ht="15.75" customHeight="1">
      <c r="E167" s="98"/>
      <c r="F167" s="98"/>
      <c r="G167" s="98"/>
      <c r="H167" s="98"/>
      <c r="I167" s="98"/>
      <c r="J167" s="98"/>
      <c r="K167" s="98"/>
      <c r="L167" s="98"/>
      <c r="M167" s="98"/>
      <c r="N167" s="98"/>
      <c r="O167" s="98"/>
      <c r="P167" s="98"/>
      <c r="Q167" s="98"/>
      <c r="R167" s="98"/>
      <c r="S167" s="98"/>
      <c r="T167" s="98"/>
      <c r="U167" s="98"/>
    </row>
    <row r="168" ht="15.75" customHeight="1">
      <c r="E168" s="98"/>
      <c r="F168" s="98"/>
      <c r="G168" s="98"/>
      <c r="H168" s="98"/>
      <c r="I168" s="98"/>
      <c r="J168" s="98"/>
      <c r="K168" s="98"/>
      <c r="L168" s="98"/>
      <c r="M168" s="98"/>
      <c r="N168" s="98"/>
      <c r="O168" s="98"/>
      <c r="P168" s="98"/>
      <c r="Q168" s="98"/>
      <c r="R168" s="98"/>
      <c r="S168" s="98"/>
      <c r="T168" s="98"/>
      <c r="U168" s="98"/>
    </row>
    <row r="169" ht="15.75" customHeight="1">
      <c r="E169" s="98"/>
      <c r="F169" s="98"/>
      <c r="G169" s="98"/>
      <c r="H169" s="98"/>
      <c r="I169" s="98"/>
      <c r="J169" s="98"/>
      <c r="K169" s="98"/>
      <c r="L169" s="98"/>
      <c r="M169" s="98"/>
      <c r="N169" s="98"/>
      <c r="O169" s="98"/>
      <c r="P169" s="98"/>
      <c r="Q169" s="98"/>
      <c r="R169" s="98"/>
      <c r="S169" s="98"/>
      <c r="T169" s="98"/>
      <c r="U169" s="98"/>
    </row>
    <row r="170" ht="15.75" customHeight="1">
      <c r="E170" s="98"/>
      <c r="F170" s="98"/>
      <c r="G170" s="98"/>
      <c r="H170" s="98"/>
      <c r="I170" s="98"/>
      <c r="J170" s="98"/>
      <c r="K170" s="98"/>
      <c r="L170" s="98"/>
      <c r="M170" s="98"/>
      <c r="N170" s="98"/>
      <c r="O170" s="98"/>
      <c r="P170" s="98"/>
      <c r="Q170" s="98"/>
      <c r="R170" s="98"/>
      <c r="S170" s="98"/>
      <c r="T170" s="98"/>
      <c r="U170" s="98"/>
    </row>
    <row r="171" ht="15.75" customHeight="1">
      <c r="E171" s="98"/>
      <c r="F171" s="98"/>
      <c r="G171" s="98"/>
      <c r="H171" s="98"/>
      <c r="I171" s="98"/>
      <c r="J171" s="98"/>
      <c r="K171" s="98"/>
      <c r="L171" s="98"/>
      <c r="M171" s="98"/>
      <c r="N171" s="98"/>
      <c r="O171" s="98"/>
      <c r="P171" s="98"/>
      <c r="Q171" s="98"/>
      <c r="R171" s="98"/>
      <c r="S171" s="98"/>
      <c r="T171" s="98"/>
      <c r="U171" s="98"/>
    </row>
    <row r="172" ht="15.75" customHeight="1">
      <c r="E172" s="98"/>
      <c r="F172" s="98"/>
      <c r="G172" s="98"/>
      <c r="H172" s="98"/>
      <c r="I172" s="98"/>
      <c r="J172" s="98"/>
      <c r="K172" s="98"/>
      <c r="L172" s="98"/>
      <c r="M172" s="98"/>
      <c r="N172" s="98"/>
      <c r="O172" s="98"/>
      <c r="P172" s="98"/>
      <c r="Q172" s="98"/>
      <c r="R172" s="98"/>
      <c r="S172" s="98"/>
      <c r="T172" s="98"/>
      <c r="U172" s="98"/>
    </row>
    <row r="173" ht="15.75" customHeight="1">
      <c r="E173" s="98"/>
      <c r="F173" s="98"/>
      <c r="G173" s="98"/>
      <c r="H173" s="98"/>
      <c r="I173" s="98"/>
      <c r="J173" s="98"/>
      <c r="K173" s="98"/>
      <c r="L173" s="98"/>
      <c r="M173" s="98"/>
      <c r="N173" s="98"/>
      <c r="O173" s="98"/>
      <c r="P173" s="98"/>
      <c r="Q173" s="98"/>
      <c r="R173" s="98"/>
      <c r="S173" s="98"/>
      <c r="T173" s="98"/>
      <c r="U173" s="98"/>
    </row>
    <row r="174" ht="15.75" customHeight="1">
      <c r="E174" s="98"/>
      <c r="F174" s="98"/>
      <c r="G174" s="98"/>
      <c r="H174" s="98"/>
      <c r="I174" s="98"/>
      <c r="J174" s="98"/>
      <c r="K174" s="98"/>
      <c r="L174" s="98"/>
      <c r="M174" s="98"/>
      <c r="N174" s="98"/>
      <c r="O174" s="98"/>
      <c r="P174" s="98"/>
      <c r="Q174" s="98"/>
      <c r="R174" s="98"/>
      <c r="S174" s="98"/>
      <c r="T174" s="98"/>
      <c r="U174" s="98"/>
    </row>
    <row r="175" ht="15.75" customHeight="1">
      <c r="E175" s="98"/>
      <c r="F175" s="98"/>
      <c r="G175" s="98"/>
      <c r="H175" s="98"/>
      <c r="I175" s="98"/>
      <c r="J175" s="98"/>
      <c r="K175" s="98"/>
      <c r="L175" s="98"/>
      <c r="M175" s="98"/>
      <c r="N175" s="98"/>
      <c r="O175" s="98"/>
      <c r="P175" s="98"/>
      <c r="Q175" s="98"/>
      <c r="R175" s="98"/>
      <c r="S175" s="98"/>
      <c r="T175" s="98"/>
      <c r="U175" s="98"/>
    </row>
    <row r="176" ht="15.75" customHeight="1">
      <c r="E176" s="98"/>
      <c r="F176" s="98"/>
      <c r="G176" s="98"/>
      <c r="H176" s="98"/>
      <c r="I176" s="98"/>
      <c r="J176" s="98"/>
      <c r="K176" s="98"/>
      <c r="L176" s="98"/>
      <c r="M176" s="98"/>
      <c r="N176" s="98"/>
      <c r="O176" s="98"/>
      <c r="P176" s="98"/>
      <c r="Q176" s="98"/>
      <c r="R176" s="98"/>
      <c r="S176" s="98"/>
      <c r="T176" s="98"/>
      <c r="U176" s="98"/>
    </row>
    <row r="177" ht="15.75" customHeight="1">
      <c r="E177" s="98"/>
      <c r="F177" s="98"/>
      <c r="G177" s="98"/>
      <c r="H177" s="98"/>
      <c r="I177" s="98"/>
      <c r="J177" s="98"/>
      <c r="K177" s="98"/>
      <c r="L177" s="98"/>
      <c r="M177" s="98"/>
      <c r="N177" s="98"/>
      <c r="O177" s="98"/>
      <c r="P177" s="98"/>
      <c r="Q177" s="98"/>
      <c r="R177" s="98"/>
      <c r="S177" s="98"/>
      <c r="T177" s="98"/>
      <c r="U177" s="98"/>
    </row>
    <row r="178" ht="15.75" customHeight="1">
      <c r="E178" s="98"/>
      <c r="F178" s="98"/>
      <c r="G178" s="98"/>
      <c r="H178" s="98"/>
      <c r="I178" s="98"/>
      <c r="J178" s="98"/>
      <c r="K178" s="98"/>
      <c r="L178" s="98"/>
      <c r="M178" s="98"/>
      <c r="N178" s="98"/>
      <c r="O178" s="98"/>
      <c r="P178" s="98"/>
      <c r="Q178" s="98"/>
      <c r="R178" s="98"/>
      <c r="S178" s="98"/>
      <c r="T178" s="98"/>
      <c r="U178" s="98"/>
    </row>
    <row r="179" ht="15.75" customHeight="1">
      <c r="E179" s="98"/>
      <c r="F179" s="98"/>
      <c r="G179" s="98"/>
      <c r="H179" s="98"/>
      <c r="I179" s="98"/>
      <c r="J179" s="98"/>
      <c r="K179" s="98"/>
      <c r="L179" s="98"/>
      <c r="M179" s="98"/>
      <c r="N179" s="98"/>
      <c r="O179" s="98"/>
      <c r="P179" s="98"/>
      <c r="Q179" s="98"/>
      <c r="R179" s="98"/>
      <c r="S179" s="98"/>
      <c r="T179" s="98"/>
      <c r="U179" s="98"/>
    </row>
    <row r="180" ht="15.75" customHeight="1">
      <c r="E180" s="98"/>
      <c r="F180" s="98"/>
      <c r="G180" s="98"/>
      <c r="H180" s="98"/>
      <c r="I180" s="98"/>
      <c r="J180" s="98"/>
      <c r="K180" s="98"/>
      <c r="L180" s="98"/>
      <c r="M180" s="98"/>
      <c r="N180" s="98"/>
      <c r="O180" s="98"/>
      <c r="P180" s="98"/>
      <c r="Q180" s="98"/>
      <c r="R180" s="98"/>
      <c r="S180" s="98"/>
      <c r="T180" s="98"/>
      <c r="U180" s="98"/>
    </row>
    <row r="181" ht="15.75" customHeight="1">
      <c r="E181" s="98"/>
      <c r="F181" s="98"/>
      <c r="G181" s="98"/>
      <c r="H181" s="98"/>
      <c r="I181" s="98"/>
      <c r="J181" s="98"/>
      <c r="K181" s="98"/>
      <c r="L181" s="98"/>
      <c r="M181" s="98"/>
      <c r="N181" s="98"/>
      <c r="O181" s="98"/>
      <c r="P181" s="98"/>
      <c r="Q181" s="98"/>
      <c r="R181" s="98"/>
      <c r="S181" s="98"/>
      <c r="T181" s="98"/>
      <c r="U181" s="98"/>
    </row>
    <row r="182" ht="15.75" customHeight="1">
      <c r="E182" s="98"/>
      <c r="F182" s="98"/>
      <c r="G182" s="98"/>
      <c r="H182" s="98"/>
      <c r="I182" s="98"/>
      <c r="J182" s="98"/>
      <c r="K182" s="98"/>
      <c r="L182" s="98"/>
      <c r="M182" s="98"/>
      <c r="N182" s="98"/>
      <c r="O182" s="98"/>
      <c r="P182" s="98"/>
      <c r="Q182" s="98"/>
      <c r="R182" s="98"/>
      <c r="S182" s="98"/>
      <c r="T182" s="98"/>
      <c r="U182" s="98"/>
    </row>
    <row r="183" ht="15.75" customHeight="1">
      <c r="E183" s="98"/>
      <c r="F183" s="98"/>
      <c r="G183" s="98"/>
      <c r="H183" s="98"/>
      <c r="I183" s="98"/>
      <c r="J183" s="98"/>
      <c r="K183" s="98"/>
      <c r="L183" s="98"/>
      <c r="M183" s="98"/>
      <c r="N183" s="98"/>
      <c r="O183" s="98"/>
      <c r="P183" s="98"/>
      <c r="Q183" s="98"/>
      <c r="R183" s="98"/>
      <c r="S183" s="98"/>
      <c r="T183" s="98"/>
      <c r="U183" s="98"/>
    </row>
    <row r="184" ht="15.75" customHeight="1">
      <c r="E184" s="98"/>
      <c r="F184" s="98"/>
      <c r="G184" s="98"/>
      <c r="H184" s="98"/>
      <c r="I184" s="98"/>
      <c r="J184" s="98"/>
      <c r="K184" s="98"/>
      <c r="L184" s="98"/>
      <c r="M184" s="98"/>
      <c r="N184" s="98"/>
      <c r="O184" s="98"/>
      <c r="P184" s="98"/>
      <c r="Q184" s="98"/>
      <c r="R184" s="98"/>
      <c r="S184" s="98"/>
      <c r="T184" s="98"/>
      <c r="U184" s="98"/>
    </row>
    <row r="185" ht="15.75" customHeight="1">
      <c r="E185" s="98"/>
      <c r="F185" s="98"/>
      <c r="G185" s="98"/>
      <c r="H185" s="98"/>
      <c r="I185" s="98"/>
      <c r="J185" s="98"/>
      <c r="K185" s="98"/>
      <c r="L185" s="98"/>
      <c r="M185" s="98"/>
      <c r="N185" s="98"/>
      <c r="O185" s="98"/>
      <c r="P185" s="98"/>
      <c r="Q185" s="98"/>
      <c r="R185" s="98"/>
      <c r="S185" s="98"/>
      <c r="T185" s="98"/>
      <c r="U185" s="98"/>
    </row>
    <row r="186" ht="15.75" customHeight="1">
      <c r="E186" s="98"/>
      <c r="F186" s="98"/>
      <c r="G186" s="98"/>
      <c r="H186" s="98"/>
      <c r="I186" s="98"/>
      <c r="J186" s="98"/>
      <c r="K186" s="98"/>
      <c r="L186" s="98"/>
      <c r="M186" s="98"/>
      <c r="N186" s="98"/>
      <c r="O186" s="98"/>
      <c r="P186" s="98"/>
      <c r="Q186" s="98"/>
      <c r="R186" s="98"/>
      <c r="S186" s="98"/>
      <c r="T186" s="98"/>
      <c r="U186" s="98"/>
    </row>
    <row r="187" ht="15.75" customHeight="1">
      <c r="E187" s="98"/>
      <c r="F187" s="98"/>
      <c r="G187" s="98"/>
      <c r="H187" s="98"/>
      <c r="I187" s="98"/>
      <c r="J187" s="98"/>
      <c r="K187" s="98"/>
      <c r="L187" s="98"/>
      <c r="M187" s="98"/>
      <c r="N187" s="98"/>
      <c r="O187" s="98"/>
      <c r="P187" s="98"/>
      <c r="Q187" s="98"/>
      <c r="R187" s="98"/>
      <c r="S187" s="98"/>
      <c r="T187" s="98"/>
      <c r="U187" s="98"/>
    </row>
    <row r="188" ht="15.75" customHeight="1">
      <c r="E188" s="98"/>
      <c r="F188" s="98"/>
      <c r="G188" s="98"/>
      <c r="H188" s="98"/>
      <c r="I188" s="98"/>
      <c r="J188" s="98"/>
      <c r="K188" s="98"/>
      <c r="L188" s="98"/>
      <c r="M188" s="98"/>
      <c r="N188" s="98"/>
      <c r="O188" s="98"/>
      <c r="P188" s="98"/>
      <c r="Q188" s="98"/>
      <c r="R188" s="98"/>
      <c r="S188" s="98"/>
      <c r="T188" s="98"/>
      <c r="U188" s="98"/>
    </row>
    <row r="189" ht="15.75" customHeight="1">
      <c r="E189" s="98"/>
      <c r="F189" s="98"/>
      <c r="G189" s="98"/>
      <c r="H189" s="98"/>
      <c r="I189" s="98"/>
      <c r="J189" s="98"/>
      <c r="K189" s="98"/>
      <c r="L189" s="98"/>
      <c r="M189" s="98"/>
      <c r="N189" s="98"/>
      <c r="O189" s="98"/>
      <c r="P189" s="98"/>
      <c r="Q189" s="98"/>
      <c r="R189" s="98"/>
      <c r="S189" s="98"/>
      <c r="T189" s="98"/>
      <c r="U189" s="98"/>
    </row>
    <row r="190" ht="15.75" customHeight="1">
      <c r="E190" s="98"/>
      <c r="F190" s="98"/>
      <c r="G190" s="98"/>
      <c r="H190" s="98"/>
      <c r="I190" s="98"/>
      <c r="J190" s="98"/>
      <c r="K190" s="98"/>
      <c r="L190" s="98"/>
      <c r="M190" s="98"/>
      <c r="N190" s="98"/>
      <c r="O190" s="98"/>
      <c r="P190" s="98"/>
      <c r="Q190" s="98"/>
      <c r="R190" s="98"/>
      <c r="S190" s="98"/>
      <c r="T190" s="98"/>
      <c r="U190" s="98"/>
    </row>
    <row r="191" ht="15.75" customHeight="1">
      <c r="E191" s="98"/>
      <c r="F191" s="98"/>
      <c r="G191" s="98"/>
      <c r="H191" s="98"/>
      <c r="I191" s="98"/>
      <c r="J191" s="98"/>
      <c r="K191" s="98"/>
      <c r="L191" s="98"/>
      <c r="M191" s="98"/>
      <c r="N191" s="98"/>
      <c r="O191" s="98"/>
      <c r="P191" s="98"/>
      <c r="Q191" s="98"/>
      <c r="R191" s="98"/>
      <c r="S191" s="98"/>
      <c r="T191" s="98"/>
      <c r="U191" s="98"/>
    </row>
    <row r="192" ht="15.75" customHeight="1">
      <c r="E192" s="98"/>
      <c r="F192" s="98"/>
      <c r="G192" s="98"/>
      <c r="H192" s="98"/>
      <c r="I192" s="98"/>
      <c r="J192" s="98"/>
      <c r="K192" s="98"/>
      <c r="L192" s="98"/>
      <c r="M192" s="98"/>
      <c r="N192" s="98"/>
      <c r="O192" s="98"/>
      <c r="P192" s="98"/>
      <c r="Q192" s="98"/>
      <c r="R192" s="98"/>
      <c r="S192" s="98"/>
      <c r="T192" s="98"/>
      <c r="U192" s="98"/>
    </row>
    <row r="193" ht="15.75" customHeight="1">
      <c r="E193" s="98"/>
      <c r="F193" s="98"/>
      <c r="G193" s="98"/>
      <c r="H193" s="98"/>
      <c r="I193" s="98"/>
      <c r="J193" s="98"/>
      <c r="K193" s="98"/>
      <c r="L193" s="98"/>
      <c r="M193" s="98"/>
      <c r="N193" s="98"/>
      <c r="O193" s="98"/>
      <c r="P193" s="98"/>
      <c r="Q193" s="98"/>
      <c r="R193" s="98"/>
      <c r="S193" s="98"/>
      <c r="T193" s="98"/>
      <c r="U193" s="98"/>
    </row>
    <row r="194" ht="15.75" customHeight="1">
      <c r="E194" s="98"/>
      <c r="F194" s="98"/>
      <c r="G194" s="98"/>
      <c r="H194" s="98"/>
      <c r="I194" s="98"/>
      <c r="J194" s="98"/>
      <c r="K194" s="98"/>
      <c r="L194" s="98"/>
      <c r="M194" s="98"/>
      <c r="N194" s="98"/>
      <c r="O194" s="98"/>
      <c r="P194" s="98"/>
      <c r="Q194" s="98"/>
      <c r="R194" s="98"/>
      <c r="S194" s="98"/>
      <c r="T194" s="98"/>
      <c r="U194" s="98"/>
    </row>
    <row r="195" ht="15.75" customHeight="1">
      <c r="E195" s="98"/>
      <c r="F195" s="98"/>
      <c r="G195" s="98"/>
      <c r="H195" s="98"/>
      <c r="I195" s="98"/>
      <c r="J195" s="98"/>
      <c r="K195" s="98"/>
      <c r="L195" s="98"/>
      <c r="M195" s="98"/>
      <c r="N195" s="98"/>
      <c r="O195" s="98"/>
      <c r="P195" s="98"/>
      <c r="Q195" s="98"/>
      <c r="R195" s="98"/>
      <c r="S195" s="98"/>
      <c r="T195" s="98"/>
      <c r="U195" s="98"/>
    </row>
    <row r="196" ht="15.75" customHeight="1">
      <c r="E196" s="98"/>
      <c r="F196" s="98"/>
      <c r="G196" s="98"/>
      <c r="H196" s="98"/>
      <c r="I196" s="98"/>
      <c r="J196" s="98"/>
      <c r="K196" s="98"/>
      <c r="L196" s="98"/>
      <c r="M196" s="98"/>
      <c r="N196" s="98"/>
      <c r="O196" s="98"/>
      <c r="P196" s="98"/>
      <c r="Q196" s="98"/>
      <c r="R196" s="98"/>
      <c r="S196" s="98"/>
      <c r="T196" s="98"/>
      <c r="U196" s="98"/>
    </row>
    <row r="197" ht="15.75" customHeight="1">
      <c r="E197" s="98"/>
      <c r="F197" s="98"/>
      <c r="G197" s="98"/>
      <c r="H197" s="98"/>
      <c r="I197" s="98"/>
      <c r="J197" s="98"/>
      <c r="K197" s="98"/>
      <c r="L197" s="98"/>
      <c r="M197" s="98"/>
      <c r="N197" s="98"/>
      <c r="O197" s="98"/>
      <c r="P197" s="98"/>
      <c r="Q197" s="98"/>
      <c r="R197" s="98"/>
      <c r="S197" s="98"/>
      <c r="T197" s="98"/>
      <c r="U197" s="98"/>
    </row>
    <row r="198" ht="15.75" customHeight="1">
      <c r="E198" s="98"/>
      <c r="F198" s="98"/>
      <c r="G198" s="98"/>
      <c r="H198" s="98"/>
      <c r="I198" s="98"/>
      <c r="J198" s="98"/>
      <c r="K198" s="98"/>
      <c r="L198" s="98"/>
      <c r="M198" s="98"/>
      <c r="N198" s="98"/>
      <c r="O198" s="98"/>
      <c r="P198" s="98"/>
      <c r="Q198" s="98"/>
      <c r="R198" s="98"/>
      <c r="S198" s="98"/>
      <c r="T198" s="98"/>
      <c r="U198" s="98"/>
    </row>
    <row r="199" ht="15.75" customHeight="1">
      <c r="E199" s="98"/>
      <c r="F199" s="98"/>
      <c r="G199" s="98"/>
      <c r="H199" s="98"/>
      <c r="I199" s="98"/>
      <c r="J199" s="98"/>
      <c r="K199" s="98"/>
      <c r="L199" s="98"/>
      <c r="M199" s="98"/>
      <c r="N199" s="98"/>
      <c r="O199" s="98"/>
      <c r="P199" s="98"/>
      <c r="Q199" s="98"/>
      <c r="R199" s="98"/>
      <c r="S199" s="98"/>
      <c r="T199" s="98"/>
      <c r="U199" s="98"/>
    </row>
    <row r="200" ht="15.75" customHeight="1">
      <c r="E200" s="98"/>
      <c r="F200" s="98"/>
      <c r="G200" s="98"/>
      <c r="H200" s="98"/>
      <c r="I200" s="98"/>
      <c r="J200" s="98"/>
      <c r="K200" s="98"/>
      <c r="L200" s="98"/>
      <c r="M200" s="98"/>
      <c r="N200" s="98"/>
      <c r="O200" s="98"/>
      <c r="P200" s="98"/>
      <c r="Q200" s="98"/>
      <c r="R200" s="98"/>
      <c r="S200" s="98"/>
      <c r="T200" s="98"/>
      <c r="U200" s="98"/>
    </row>
    <row r="201" ht="15.75" customHeight="1">
      <c r="E201" s="98"/>
      <c r="F201" s="98"/>
      <c r="G201" s="98"/>
      <c r="H201" s="98"/>
      <c r="I201" s="98"/>
      <c r="J201" s="98"/>
      <c r="K201" s="98"/>
      <c r="L201" s="98"/>
      <c r="M201" s="98"/>
      <c r="N201" s="98"/>
      <c r="O201" s="98"/>
      <c r="P201" s="98"/>
      <c r="Q201" s="98"/>
      <c r="R201" s="98"/>
      <c r="S201" s="98"/>
      <c r="T201" s="98"/>
      <c r="U201" s="98"/>
    </row>
    <row r="202" ht="15.75" customHeight="1">
      <c r="E202" s="98"/>
      <c r="F202" s="98"/>
      <c r="G202" s="98"/>
      <c r="H202" s="98"/>
      <c r="I202" s="98"/>
      <c r="J202" s="98"/>
      <c r="K202" s="98"/>
      <c r="L202" s="98"/>
      <c r="M202" s="98"/>
      <c r="N202" s="98"/>
      <c r="O202" s="98"/>
      <c r="P202" s="98"/>
      <c r="Q202" s="98"/>
      <c r="R202" s="98"/>
      <c r="S202" s="98"/>
      <c r="T202" s="98"/>
      <c r="U202" s="98"/>
    </row>
    <row r="203" ht="15.75" customHeight="1">
      <c r="E203" s="98"/>
      <c r="F203" s="98"/>
      <c r="G203" s="98"/>
      <c r="H203" s="98"/>
      <c r="I203" s="98"/>
      <c r="J203" s="98"/>
      <c r="K203" s="98"/>
      <c r="L203" s="98"/>
      <c r="M203" s="98"/>
      <c r="N203" s="98"/>
      <c r="O203" s="98"/>
      <c r="P203" s="98"/>
      <c r="Q203" s="98"/>
      <c r="R203" s="98"/>
      <c r="S203" s="98"/>
      <c r="T203" s="98"/>
      <c r="U203" s="98"/>
    </row>
    <row r="204" ht="15.75" customHeight="1">
      <c r="E204" s="98"/>
      <c r="F204" s="98"/>
      <c r="G204" s="98"/>
      <c r="H204" s="98"/>
      <c r="I204" s="98"/>
      <c r="J204" s="98"/>
      <c r="K204" s="98"/>
      <c r="L204" s="98"/>
      <c r="M204" s="98"/>
      <c r="N204" s="98"/>
      <c r="O204" s="98"/>
      <c r="P204" s="98"/>
      <c r="Q204" s="98"/>
      <c r="R204" s="98"/>
      <c r="S204" s="98"/>
      <c r="T204" s="98"/>
      <c r="U204" s="98"/>
    </row>
    <row r="205" ht="15.75" customHeight="1">
      <c r="E205" s="98"/>
      <c r="F205" s="98"/>
      <c r="G205" s="98"/>
      <c r="H205" s="98"/>
      <c r="I205" s="98"/>
      <c r="J205" s="98"/>
      <c r="K205" s="98"/>
      <c r="L205" s="98"/>
      <c r="M205" s="98"/>
      <c r="N205" s="98"/>
      <c r="O205" s="98"/>
      <c r="P205" s="98"/>
      <c r="Q205" s="98"/>
      <c r="R205" s="98"/>
      <c r="S205" s="98"/>
      <c r="T205" s="98"/>
      <c r="U205" s="98"/>
    </row>
    <row r="206" ht="15.75" customHeight="1">
      <c r="E206" s="98"/>
      <c r="F206" s="98"/>
      <c r="G206" s="98"/>
      <c r="H206" s="98"/>
      <c r="I206" s="98"/>
      <c r="J206" s="98"/>
      <c r="K206" s="98"/>
      <c r="L206" s="98"/>
      <c r="M206" s="98"/>
      <c r="N206" s="98"/>
      <c r="O206" s="98"/>
      <c r="P206" s="98"/>
      <c r="Q206" s="98"/>
      <c r="R206" s="98"/>
      <c r="S206" s="98"/>
      <c r="T206" s="98"/>
      <c r="U206" s="98"/>
    </row>
    <row r="207" ht="15.75" customHeight="1">
      <c r="E207" s="98"/>
      <c r="F207" s="98"/>
      <c r="G207" s="98"/>
      <c r="H207" s="98"/>
      <c r="I207" s="98"/>
      <c r="J207" s="98"/>
      <c r="K207" s="98"/>
      <c r="L207" s="98"/>
      <c r="M207" s="98"/>
      <c r="N207" s="98"/>
      <c r="O207" s="98"/>
      <c r="P207" s="98"/>
      <c r="Q207" s="98"/>
      <c r="R207" s="98"/>
      <c r="S207" s="98"/>
      <c r="T207" s="98"/>
      <c r="U207" s="98"/>
    </row>
    <row r="208" ht="15.75" customHeight="1">
      <c r="E208" s="98"/>
      <c r="F208" s="98"/>
      <c r="G208" s="98"/>
      <c r="H208" s="98"/>
      <c r="I208" s="98"/>
      <c r="J208" s="98"/>
      <c r="K208" s="98"/>
      <c r="L208" s="98"/>
      <c r="M208" s="98"/>
      <c r="N208" s="98"/>
      <c r="O208" s="98"/>
      <c r="P208" s="98"/>
      <c r="Q208" s="98"/>
      <c r="R208" s="98"/>
      <c r="S208" s="98"/>
      <c r="T208" s="98"/>
      <c r="U208" s="98"/>
    </row>
    <row r="209" ht="15.75" customHeight="1">
      <c r="E209" s="98"/>
      <c r="F209" s="98"/>
      <c r="G209" s="98"/>
      <c r="H209" s="98"/>
      <c r="I209" s="98"/>
      <c r="J209" s="98"/>
      <c r="K209" s="98"/>
      <c r="L209" s="98"/>
      <c r="M209" s="98"/>
      <c r="N209" s="98"/>
      <c r="O209" s="98"/>
      <c r="P209" s="98"/>
      <c r="Q209" s="98"/>
      <c r="R209" s="98"/>
      <c r="S209" s="98"/>
      <c r="T209" s="98"/>
      <c r="U209" s="98"/>
    </row>
    <row r="210" ht="15.75" customHeight="1">
      <c r="E210" s="98"/>
      <c r="F210" s="98"/>
      <c r="G210" s="98"/>
      <c r="H210" s="98"/>
      <c r="I210" s="98"/>
      <c r="J210" s="98"/>
      <c r="K210" s="98"/>
      <c r="L210" s="98"/>
      <c r="M210" s="98"/>
      <c r="N210" s="98"/>
      <c r="O210" s="98"/>
      <c r="P210" s="98"/>
      <c r="Q210" s="98"/>
      <c r="R210" s="98"/>
      <c r="S210" s="98"/>
      <c r="T210" s="98"/>
      <c r="U210" s="98"/>
    </row>
    <row r="211" ht="15.75" customHeight="1">
      <c r="E211" s="98"/>
      <c r="F211" s="98"/>
      <c r="G211" s="98"/>
      <c r="H211" s="98"/>
      <c r="I211" s="98"/>
      <c r="J211" s="98"/>
      <c r="K211" s="98"/>
      <c r="L211" s="98"/>
      <c r="M211" s="98"/>
      <c r="N211" s="98"/>
      <c r="O211" s="98"/>
      <c r="P211" s="98"/>
      <c r="Q211" s="98"/>
      <c r="R211" s="98"/>
      <c r="S211" s="98"/>
      <c r="T211" s="98"/>
      <c r="U211" s="98"/>
    </row>
    <row r="212" ht="15.75" customHeight="1">
      <c r="E212" s="98"/>
      <c r="F212" s="98"/>
      <c r="G212" s="98"/>
      <c r="H212" s="98"/>
      <c r="I212" s="98"/>
      <c r="J212" s="98"/>
      <c r="K212" s="98"/>
      <c r="L212" s="98"/>
      <c r="M212" s="98"/>
      <c r="N212" s="98"/>
      <c r="O212" s="98"/>
      <c r="P212" s="98"/>
      <c r="Q212" s="98"/>
      <c r="R212" s="98"/>
      <c r="S212" s="98"/>
      <c r="T212" s="98"/>
      <c r="U212" s="98"/>
    </row>
    <row r="213" ht="15.75" customHeight="1">
      <c r="E213" s="98"/>
      <c r="F213" s="98"/>
      <c r="G213" s="98"/>
      <c r="H213" s="98"/>
      <c r="I213" s="98"/>
      <c r="J213" s="98"/>
      <c r="K213" s="98"/>
      <c r="L213" s="98"/>
      <c r="M213" s="98"/>
      <c r="N213" s="98"/>
      <c r="O213" s="98"/>
      <c r="P213" s="98"/>
      <c r="Q213" s="98"/>
      <c r="R213" s="98"/>
      <c r="S213" s="98"/>
      <c r="T213" s="98"/>
      <c r="U213" s="98"/>
    </row>
    <row r="214" ht="15.75" customHeight="1">
      <c r="E214" s="98"/>
      <c r="F214" s="98"/>
      <c r="G214" s="98"/>
      <c r="H214" s="98"/>
      <c r="I214" s="98"/>
      <c r="J214" s="98"/>
      <c r="K214" s="98"/>
      <c r="L214" s="98"/>
      <c r="M214" s="98"/>
      <c r="N214" s="98"/>
      <c r="O214" s="98"/>
      <c r="P214" s="98"/>
      <c r="Q214" s="98"/>
      <c r="R214" s="98"/>
      <c r="S214" s="98"/>
      <c r="T214" s="98"/>
      <c r="U214" s="98"/>
    </row>
    <row r="215" ht="15.75" customHeight="1">
      <c r="E215" s="98"/>
      <c r="F215" s="98"/>
      <c r="G215" s="98"/>
      <c r="H215" s="98"/>
      <c r="I215" s="98"/>
      <c r="J215" s="98"/>
      <c r="K215" s="98"/>
      <c r="L215" s="98"/>
      <c r="M215" s="98"/>
      <c r="N215" s="98"/>
      <c r="O215" s="98"/>
      <c r="P215" s="98"/>
      <c r="Q215" s="98"/>
      <c r="R215" s="98"/>
      <c r="S215" s="98"/>
      <c r="T215" s="98"/>
      <c r="U215" s="98"/>
    </row>
    <row r="216" ht="15.75" customHeight="1">
      <c r="E216" s="98"/>
      <c r="F216" s="98"/>
      <c r="G216" s="98"/>
      <c r="H216" s="98"/>
      <c r="I216" s="98"/>
      <c r="J216" s="98"/>
      <c r="K216" s="98"/>
      <c r="L216" s="98"/>
      <c r="M216" s="98"/>
      <c r="N216" s="98"/>
      <c r="O216" s="98"/>
      <c r="P216" s="98"/>
      <c r="Q216" s="98"/>
      <c r="R216" s="98"/>
      <c r="S216" s="98"/>
      <c r="T216" s="98"/>
      <c r="U216" s="98"/>
    </row>
    <row r="217" ht="15.75" customHeight="1">
      <c r="E217" s="98"/>
      <c r="F217" s="98"/>
      <c r="G217" s="98"/>
      <c r="H217" s="98"/>
      <c r="I217" s="98"/>
      <c r="J217" s="98"/>
      <c r="K217" s="98"/>
      <c r="L217" s="98"/>
      <c r="M217" s="98"/>
      <c r="N217" s="98"/>
      <c r="O217" s="98"/>
      <c r="P217" s="98"/>
      <c r="Q217" s="98"/>
      <c r="R217" s="98"/>
      <c r="S217" s="98"/>
      <c r="T217" s="98"/>
      <c r="U217" s="98"/>
    </row>
    <row r="218" ht="15.75" customHeight="1">
      <c r="E218" s="98"/>
      <c r="F218" s="98"/>
      <c r="G218" s="98"/>
      <c r="H218" s="98"/>
      <c r="I218" s="98"/>
      <c r="J218" s="98"/>
      <c r="K218" s="98"/>
      <c r="L218" s="98"/>
      <c r="M218" s="98"/>
      <c r="N218" s="98"/>
      <c r="O218" s="98"/>
      <c r="P218" s="98"/>
      <c r="Q218" s="98"/>
      <c r="R218" s="98"/>
      <c r="S218" s="98"/>
      <c r="T218" s="98"/>
      <c r="U218" s="98"/>
    </row>
    <row r="219" ht="15.75" customHeight="1">
      <c r="E219" s="98"/>
      <c r="F219" s="98"/>
      <c r="G219" s="98"/>
      <c r="H219" s="98"/>
      <c r="I219" s="98"/>
      <c r="J219" s="98"/>
      <c r="K219" s="98"/>
      <c r="L219" s="98"/>
      <c r="M219" s="98"/>
      <c r="N219" s="98"/>
      <c r="O219" s="98"/>
      <c r="P219" s="98"/>
      <c r="Q219" s="98"/>
      <c r="R219" s="98"/>
      <c r="S219" s="98"/>
      <c r="T219" s="98"/>
      <c r="U219" s="98"/>
    </row>
    <row r="220" ht="15.75" customHeight="1">
      <c r="E220" s="98"/>
      <c r="F220" s="98"/>
      <c r="G220" s="98"/>
      <c r="H220" s="98"/>
      <c r="I220" s="98"/>
      <c r="J220" s="98"/>
      <c r="K220" s="98"/>
      <c r="L220" s="98"/>
      <c r="M220" s="98"/>
      <c r="N220" s="98"/>
      <c r="O220" s="98"/>
      <c r="P220" s="98"/>
      <c r="Q220" s="98"/>
      <c r="R220" s="98"/>
      <c r="S220" s="98"/>
      <c r="T220" s="98"/>
      <c r="U220" s="98"/>
    </row>
    <row r="221" ht="15.75" customHeight="1">
      <c r="E221" s="98"/>
      <c r="F221" s="98"/>
      <c r="G221" s="98"/>
      <c r="H221" s="98"/>
      <c r="I221" s="98"/>
      <c r="J221" s="98"/>
      <c r="K221" s="98"/>
      <c r="L221" s="98"/>
      <c r="M221" s="98"/>
      <c r="N221" s="98"/>
      <c r="O221" s="98"/>
      <c r="P221" s="98"/>
      <c r="Q221" s="98"/>
      <c r="R221" s="98"/>
      <c r="S221" s="98"/>
      <c r="T221" s="98"/>
      <c r="U221" s="98"/>
    </row>
    <row r="222" ht="15.75" customHeight="1">
      <c r="E222" s="98"/>
      <c r="F222" s="98"/>
      <c r="G222" s="98"/>
      <c r="H222" s="98"/>
      <c r="I222" s="98"/>
      <c r="J222" s="98"/>
      <c r="K222" s="98"/>
      <c r="L222" s="98"/>
      <c r="M222" s="98"/>
      <c r="N222" s="98"/>
      <c r="O222" s="98"/>
      <c r="P222" s="98"/>
      <c r="Q222" s="98"/>
      <c r="R222" s="98"/>
      <c r="S222" s="98"/>
      <c r="T222" s="98"/>
      <c r="U222" s="98"/>
    </row>
    <row r="223" ht="15.75" customHeight="1">
      <c r="E223" s="98"/>
      <c r="F223" s="98"/>
      <c r="G223" s="98"/>
      <c r="H223" s="98"/>
      <c r="I223" s="98"/>
      <c r="J223" s="98"/>
      <c r="K223" s="98"/>
      <c r="L223" s="98"/>
      <c r="M223" s="98"/>
      <c r="N223" s="98"/>
      <c r="O223" s="98"/>
      <c r="P223" s="98"/>
      <c r="Q223" s="98"/>
      <c r="R223" s="98"/>
      <c r="S223" s="98"/>
      <c r="T223" s="98"/>
      <c r="U223" s="98"/>
    </row>
    <row r="224" ht="15.75" customHeight="1">
      <c r="E224" s="98"/>
      <c r="F224" s="98"/>
      <c r="G224" s="98"/>
      <c r="H224" s="98"/>
      <c r="I224" s="98"/>
      <c r="J224" s="98"/>
      <c r="K224" s="98"/>
      <c r="L224" s="98"/>
      <c r="M224" s="98"/>
      <c r="N224" s="98"/>
      <c r="O224" s="98"/>
      <c r="P224" s="98"/>
      <c r="Q224" s="98"/>
      <c r="R224" s="98"/>
      <c r="S224" s="98"/>
      <c r="T224" s="98"/>
      <c r="U224" s="98"/>
    </row>
    <row r="225" ht="15.75" customHeight="1">
      <c r="E225" s="98"/>
      <c r="F225" s="98"/>
      <c r="G225" s="98"/>
      <c r="H225" s="98"/>
      <c r="I225" s="98"/>
      <c r="J225" s="98"/>
      <c r="K225" s="98"/>
      <c r="L225" s="98"/>
      <c r="M225" s="98"/>
      <c r="N225" s="98"/>
      <c r="O225" s="98"/>
      <c r="P225" s="98"/>
      <c r="Q225" s="98"/>
      <c r="R225" s="98"/>
      <c r="S225" s="98"/>
      <c r="T225" s="98"/>
      <c r="U225" s="98"/>
    </row>
    <row r="226" ht="15.75" customHeight="1">
      <c r="E226" s="98"/>
      <c r="F226" s="98"/>
      <c r="G226" s="98"/>
      <c r="H226" s="98"/>
      <c r="I226" s="98"/>
      <c r="J226" s="98"/>
      <c r="K226" s="98"/>
      <c r="L226" s="98"/>
      <c r="M226" s="98"/>
      <c r="N226" s="98"/>
      <c r="O226" s="98"/>
      <c r="P226" s="98"/>
      <c r="Q226" s="98"/>
      <c r="R226" s="98"/>
      <c r="S226" s="98"/>
      <c r="T226" s="98"/>
      <c r="U226" s="98"/>
    </row>
    <row r="227" ht="15.75" customHeight="1">
      <c r="E227" s="98"/>
      <c r="F227" s="98"/>
      <c r="G227" s="98"/>
      <c r="H227" s="98"/>
      <c r="I227" s="98"/>
      <c r="J227" s="98"/>
      <c r="K227" s="98"/>
      <c r="L227" s="98"/>
      <c r="M227" s="98"/>
      <c r="N227" s="98"/>
      <c r="O227" s="98"/>
      <c r="P227" s="98"/>
      <c r="Q227" s="98"/>
      <c r="R227" s="98"/>
      <c r="S227" s="98"/>
      <c r="T227" s="98"/>
      <c r="U227" s="98"/>
    </row>
    <row r="228" ht="15.75" customHeight="1">
      <c r="E228" s="98"/>
      <c r="F228" s="98"/>
      <c r="G228" s="98"/>
      <c r="H228" s="98"/>
      <c r="I228" s="98"/>
      <c r="J228" s="98"/>
      <c r="K228" s="98"/>
      <c r="L228" s="98"/>
      <c r="M228" s="98"/>
      <c r="N228" s="98"/>
      <c r="O228" s="98"/>
      <c r="P228" s="98"/>
      <c r="Q228" s="98"/>
      <c r="R228" s="98"/>
      <c r="S228" s="98"/>
      <c r="T228" s="98"/>
      <c r="U228" s="98"/>
    </row>
    <row r="229" ht="15.75" customHeight="1">
      <c r="E229" s="98"/>
      <c r="F229" s="98"/>
      <c r="G229" s="98"/>
      <c r="H229" s="98"/>
      <c r="I229" s="98"/>
      <c r="J229" s="98"/>
      <c r="K229" s="98"/>
      <c r="L229" s="98"/>
      <c r="M229" s="98"/>
      <c r="N229" s="98"/>
      <c r="O229" s="98"/>
      <c r="P229" s="98"/>
      <c r="Q229" s="98"/>
      <c r="R229" s="98"/>
      <c r="S229" s="98"/>
      <c r="T229" s="98"/>
      <c r="U229" s="98"/>
    </row>
    <row r="230" ht="15.75" customHeight="1">
      <c r="E230" s="98"/>
      <c r="F230" s="98"/>
      <c r="G230" s="98"/>
      <c r="H230" s="98"/>
      <c r="I230" s="98"/>
      <c r="J230" s="98"/>
      <c r="K230" s="98"/>
      <c r="L230" s="98"/>
      <c r="M230" s="98"/>
      <c r="N230" s="98"/>
      <c r="O230" s="98"/>
      <c r="P230" s="98"/>
      <c r="Q230" s="98"/>
      <c r="R230" s="98"/>
      <c r="S230" s="98"/>
      <c r="T230" s="98"/>
      <c r="U230" s="98"/>
    </row>
    <row r="231" ht="15.75" customHeight="1">
      <c r="E231" s="98"/>
      <c r="F231" s="98"/>
      <c r="G231" s="98"/>
      <c r="H231" s="98"/>
      <c r="I231" s="98"/>
      <c r="J231" s="98"/>
      <c r="K231" s="98"/>
      <c r="L231" s="98"/>
      <c r="M231" s="98"/>
      <c r="N231" s="98"/>
      <c r="O231" s="98"/>
      <c r="P231" s="98"/>
      <c r="Q231" s="98"/>
      <c r="R231" s="98"/>
      <c r="S231" s="98"/>
      <c r="T231" s="98"/>
      <c r="U231" s="98"/>
    </row>
    <row r="232" ht="15.75" customHeight="1">
      <c r="E232" s="98"/>
      <c r="F232" s="98"/>
      <c r="G232" s="98"/>
      <c r="H232" s="98"/>
      <c r="I232" s="98"/>
      <c r="J232" s="98"/>
      <c r="K232" s="98"/>
      <c r="L232" s="98"/>
      <c r="M232" s="98"/>
      <c r="N232" s="98"/>
      <c r="O232" s="98"/>
      <c r="P232" s="98"/>
      <c r="Q232" s="98"/>
      <c r="R232" s="98"/>
      <c r="S232" s="98"/>
      <c r="T232" s="98"/>
      <c r="U232" s="98"/>
    </row>
    <row r="233" ht="15.75" customHeight="1">
      <c r="E233" s="98"/>
      <c r="F233" s="98"/>
      <c r="G233" s="98"/>
      <c r="H233" s="98"/>
      <c r="I233" s="98"/>
      <c r="J233" s="98"/>
      <c r="K233" s="98"/>
      <c r="L233" s="98"/>
      <c r="M233" s="98"/>
      <c r="N233" s="98"/>
      <c r="O233" s="98"/>
      <c r="P233" s="98"/>
      <c r="Q233" s="98"/>
      <c r="R233" s="98"/>
      <c r="S233" s="98"/>
      <c r="T233" s="98"/>
      <c r="U233" s="98"/>
    </row>
    <row r="234" ht="15.75" customHeight="1">
      <c r="E234" s="98"/>
      <c r="F234" s="98"/>
      <c r="G234" s="98"/>
      <c r="H234" s="98"/>
      <c r="I234" s="98"/>
      <c r="J234" s="98"/>
      <c r="K234" s="98"/>
      <c r="L234" s="98"/>
      <c r="M234" s="98"/>
      <c r="N234" s="98"/>
      <c r="O234" s="98"/>
      <c r="P234" s="98"/>
      <c r="Q234" s="98"/>
      <c r="R234" s="98"/>
      <c r="S234" s="98"/>
      <c r="T234" s="98"/>
      <c r="U234" s="98"/>
    </row>
    <row r="235" ht="15.75" customHeight="1">
      <c r="E235" s="98"/>
      <c r="F235" s="98"/>
      <c r="G235" s="98"/>
      <c r="H235" s="98"/>
      <c r="I235" s="98"/>
      <c r="J235" s="98"/>
      <c r="K235" s="98"/>
      <c r="L235" s="98"/>
      <c r="M235" s="98"/>
      <c r="N235" s="98"/>
      <c r="O235" s="98"/>
      <c r="P235" s="98"/>
      <c r="Q235" s="98"/>
      <c r="R235" s="98"/>
      <c r="S235" s="98"/>
      <c r="T235" s="98"/>
      <c r="U235" s="98"/>
    </row>
    <row r="236" ht="15.75" customHeight="1">
      <c r="E236" s="98"/>
      <c r="F236" s="98"/>
      <c r="G236" s="98"/>
      <c r="H236" s="98"/>
      <c r="I236" s="98"/>
      <c r="J236" s="98"/>
      <c r="K236" s="98"/>
      <c r="L236" s="98"/>
      <c r="M236" s="98"/>
      <c r="N236" s="98"/>
      <c r="O236" s="98"/>
      <c r="P236" s="98"/>
      <c r="Q236" s="98"/>
      <c r="R236" s="98"/>
      <c r="S236" s="98"/>
      <c r="T236" s="98"/>
      <c r="U236" s="98"/>
    </row>
    <row r="237" ht="15.75" customHeight="1">
      <c r="E237" s="98"/>
      <c r="F237" s="98"/>
      <c r="G237" s="98"/>
      <c r="H237" s="98"/>
      <c r="I237" s="98"/>
      <c r="J237" s="98"/>
      <c r="K237" s="98"/>
      <c r="L237" s="98"/>
      <c r="M237" s="98"/>
      <c r="N237" s="98"/>
      <c r="O237" s="98"/>
      <c r="P237" s="98"/>
      <c r="Q237" s="98"/>
      <c r="R237" s="98"/>
      <c r="S237" s="98"/>
      <c r="T237" s="98"/>
      <c r="U237" s="98"/>
    </row>
    <row r="238" ht="15.75" customHeight="1">
      <c r="E238" s="98"/>
      <c r="F238" s="98"/>
      <c r="G238" s="98"/>
      <c r="H238" s="98"/>
      <c r="I238" s="98"/>
      <c r="J238" s="98"/>
      <c r="K238" s="98"/>
      <c r="L238" s="98"/>
      <c r="M238" s="98"/>
      <c r="N238" s="98"/>
      <c r="O238" s="98"/>
      <c r="P238" s="98"/>
      <c r="Q238" s="98"/>
      <c r="R238" s="98"/>
      <c r="S238" s="98"/>
      <c r="T238" s="98"/>
      <c r="U238" s="98"/>
    </row>
    <row r="239" ht="15.75" customHeight="1">
      <c r="E239" s="98"/>
      <c r="F239" s="98"/>
      <c r="G239" s="98"/>
      <c r="H239" s="98"/>
      <c r="I239" s="98"/>
      <c r="J239" s="98"/>
      <c r="K239" s="98"/>
      <c r="L239" s="98"/>
      <c r="M239" s="98"/>
      <c r="N239" s="98"/>
      <c r="O239" s="98"/>
      <c r="P239" s="98"/>
      <c r="Q239" s="98"/>
      <c r="R239" s="98"/>
      <c r="S239" s="98"/>
      <c r="T239" s="98"/>
      <c r="U239" s="98"/>
    </row>
    <row r="240" ht="15.75" customHeight="1">
      <c r="E240" s="98"/>
      <c r="F240" s="98"/>
      <c r="G240" s="98"/>
      <c r="H240" s="98"/>
      <c r="I240" s="98"/>
      <c r="J240" s="98"/>
      <c r="K240" s="98"/>
      <c r="L240" s="98"/>
      <c r="M240" s="98"/>
      <c r="N240" s="98"/>
      <c r="O240" s="98"/>
      <c r="P240" s="98"/>
      <c r="Q240" s="98"/>
      <c r="R240" s="98"/>
      <c r="S240" s="98"/>
      <c r="T240" s="98"/>
      <c r="U240" s="98"/>
    </row>
    <row r="241" ht="15.75" customHeight="1">
      <c r="E241" s="98"/>
      <c r="F241" s="98"/>
      <c r="G241" s="98"/>
      <c r="H241" s="98"/>
      <c r="I241" s="98"/>
      <c r="J241" s="98"/>
      <c r="K241" s="98"/>
      <c r="L241" s="98"/>
      <c r="M241" s="98"/>
      <c r="N241" s="98"/>
      <c r="O241" s="98"/>
      <c r="P241" s="98"/>
      <c r="Q241" s="98"/>
      <c r="R241" s="98"/>
      <c r="S241" s="98"/>
      <c r="T241" s="98"/>
      <c r="U241" s="98"/>
    </row>
    <row r="242" ht="15.75" customHeight="1">
      <c r="E242" s="98"/>
      <c r="F242" s="98"/>
      <c r="G242" s="98"/>
      <c r="H242" s="98"/>
      <c r="I242" s="98"/>
      <c r="J242" s="98"/>
      <c r="K242" s="98"/>
      <c r="L242" s="98"/>
      <c r="M242" s="98"/>
      <c r="N242" s="98"/>
      <c r="O242" s="98"/>
      <c r="P242" s="98"/>
      <c r="Q242" s="98"/>
      <c r="R242" s="98"/>
      <c r="S242" s="98"/>
      <c r="T242" s="98"/>
      <c r="U242" s="98"/>
    </row>
    <row r="243" ht="15.75" customHeight="1">
      <c r="E243" s="98"/>
      <c r="F243" s="98"/>
      <c r="G243" s="98"/>
      <c r="H243" s="98"/>
      <c r="I243" s="98"/>
      <c r="J243" s="98"/>
      <c r="K243" s="98"/>
      <c r="L243" s="98"/>
      <c r="M243" s="98"/>
      <c r="N243" s="98"/>
      <c r="O243" s="98"/>
      <c r="P243" s="98"/>
      <c r="Q243" s="98"/>
      <c r="R243" s="98"/>
      <c r="S243" s="98"/>
      <c r="T243" s="98"/>
      <c r="U243" s="98"/>
    </row>
    <row r="244" ht="15.75" customHeight="1">
      <c r="E244" s="98"/>
      <c r="F244" s="98"/>
      <c r="G244" s="98"/>
      <c r="H244" s="98"/>
      <c r="I244" s="98"/>
      <c r="J244" s="98"/>
      <c r="K244" s="98"/>
      <c r="L244" s="98"/>
      <c r="M244" s="98"/>
      <c r="N244" s="98"/>
      <c r="O244" s="98"/>
      <c r="P244" s="98"/>
      <c r="Q244" s="98"/>
      <c r="R244" s="98"/>
      <c r="S244" s="98"/>
      <c r="T244" s="98"/>
      <c r="U244" s="98"/>
    </row>
    <row r="245" ht="15.75" customHeight="1">
      <c r="E245" s="98"/>
      <c r="F245" s="98"/>
      <c r="G245" s="98"/>
      <c r="H245" s="98"/>
      <c r="I245" s="98"/>
      <c r="J245" s="98"/>
      <c r="K245" s="98"/>
      <c r="L245" s="98"/>
      <c r="M245" s="98"/>
      <c r="N245" s="98"/>
      <c r="O245" s="98"/>
      <c r="P245" s="98"/>
      <c r="Q245" s="98"/>
      <c r="R245" s="98"/>
      <c r="S245" s="98"/>
      <c r="T245" s="98"/>
      <c r="U245" s="98"/>
    </row>
    <row r="246" ht="15.75" customHeight="1">
      <c r="E246" s="98"/>
      <c r="F246" s="98"/>
      <c r="G246" s="98"/>
      <c r="H246" s="98"/>
      <c r="I246" s="98"/>
      <c r="J246" s="98"/>
      <c r="K246" s="98"/>
      <c r="L246" s="98"/>
      <c r="M246" s="98"/>
      <c r="N246" s="98"/>
      <c r="O246" s="98"/>
      <c r="P246" s="98"/>
      <c r="Q246" s="98"/>
      <c r="R246" s="98"/>
      <c r="S246" s="98"/>
      <c r="T246" s="98"/>
      <c r="U246" s="98"/>
    </row>
    <row r="247" ht="15.75" customHeight="1">
      <c r="E247" s="98"/>
      <c r="F247" s="98"/>
      <c r="G247" s="98"/>
      <c r="H247" s="98"/>
      <c r="I247" s="98"/>
      <c r="J247" s="98"/>
      <c r="K247" s="98"/>
      <c r="L247" s="98"/>
      <c r="M247" s="98"/>
      <c r="N247" s="98"/>
      <c r="O247" s="98"/>
      <c r="P247" s="98"/>
      <c r="Q247" s="98"/>
      <c r="R247" s="98"/>
      <c r="S247" s="98"/>
      <c r="T247" s="98"/>
      <c r="U247" s="98"/>
    </row>
    <row r="248" ht="15.75" customHeight="1">
      <c r="E248" s="98"/>
      <c r="F248" s="98"/>
      <c r="G248" s="98"/>
      <c r="H248" s="98"/>
      <c r="I248" s="98"/>
      <c r="J248" s="98"/>
      <c r="K248" s="98"/>
      <c r="L248" s="98"/>
      <c r="M248" s="98"/>
      <c r="N248" s="98"/>
      <c r="O248" s="98"/>
      <c r="P248" s="98"/>
      <c r="Q248" s="98"/>
      <c r="R248" s="98"/>
      <c r="S248" s="98"/>
      <c r="T248" s="98"/>
      <c r="U248" s="98"/>
    </row>
    <row r="249" ht="15.75" customHeight="1">
      <c r="E249" s="98"/>
      <c r="F249" s="98"/>
      <c r="G249" s="98"/>
      <c r="H249" s="98"/>
      <c r="I249" s="98"/>
      <c r="J249" s="98"/>
      <c r="K249" s="98"/>
      <c r="L249" s="98"/>
      <c r="M249" s="98"/>
      <c r="N249" s="98"/>
      <c r="O249" s="98"/>
      <c r="P249" s="98"/>
      <c r="Q249" s="98"/>
      <c r="R249" s="98"/>
      <c r="S249" s="98"/>
      <c r="T249" s="98"/>
      <c r="U249" s="98"/>
    </row>
    <row r="250" ht="15.75" customHeight="1">
      <c r="E250" s="98"/>
      <c r="F250" s="98"/>
      <c r="G250" s="98"/>
      <c r="H250" s="98"/>
      <c r="I250" s="98"/>
      <c r="J250" s="98"/>
      <c r="K250" s="98"/>
      <c r="L250" s="98"/>
      <c r="M250" s="98"/>
      <c r="N250" s="98"/>
      <c r="O250" s="98"/>
      <c r="P250" s="98"/>
      <c r="Q250" s="98"/>
      <c r="R250" s="98"/>
      <c r="S250" s="98"/>
      <c r="T250" s="98"/>
      <c r="U250" s="98"/>
    </row>
    <row r="251" ht="15.75" customHeight="1">
      <c r="E251" s="98"/>
      <c r="F251" s="98"/>
      <c r="G251" s="98"/>
      <c r="H251" s="98"/>
      <c r="I251" s="98"/>
      <c r="J251" s="98"/>
      <c r="K251" s="98"/>
      <c r="L251" s="98"/>
      <c r="M251" s="98"/>
      <c r="N251" s="98"/>
      <c r="O251" s="98"/>
      <c r="P251" s="98"/>
      <c r="Q251" s="98"/>
      <c r="R251" s="98"/>
      <c r="S251" s="98"/>
      <c r="T251" s="98"/>
      <c r="U251" s="98"/>
    </row>
    <row r="252" ht="15.75" customHeight="1">
      <c r="E252" s="98"/>
      <c r="F252" s="98"/>
      <c r="G252" s="98"/>
      <c r="H252" s="98"/>
      <c r="I252" s="98"/>
      <c r="J252" s="98"/>
      <c r="K252" s="98"/>
      <c r="L252" s="98"/>
      <c r="M252" s="98"/>
      <c r="N252" s="98"/>
      <c r="O252" s="98"/>
      <c r="P252" s="98"/>
      <c r="Q252" s="98"/>
      <c r="R252" s="98"/>
      <c r="S252" s="98"/>
      <c r="T252" s="98"/>
      <c r="U252" s="98"/>
    </row>
    <row r="253" ht="15.75" customHeight="1">
      <c r="E253" s="98"/>
      <c r="F253" s="98"/>
      <c r="G253" s="98"/>
      <c r="H253" s="98"/>
      <c r="I253" s="98"/>
      <c r="J253" s="98"/>
      <c r="K253" s="98"/>
      <c r="L253" s="98"/>
      <c r="M253" s="98"/>
      <c r="N253" s="98"/>
      <c r="O253" s="98"/>
      <c r="P253" s="98"/>
      <c r="Q253" s="98"/>
      <c r="R253" s="98"/>
      <c r="S253" s="98"/>
      <c r="T253" s="98"/>
      <c r="U253" s="98"/>
    </row>
    <row r="254" ht="15.75" customHeight="1">
      <c r="E254" s="98"/>
      <c r="F254" s="98"/>
      <c r="G254" s="98"/>
      <c r="H254" s="98"/>
      <c r="I254" s="98"/>
      <c r="J254" s="98"/>
      <c r="K254" s="98"/>
      <c r="L254" s="98"/>
      <c r="M254" s="98"/>
      <c r="N254" s="98"/>
      <c r="O254" s="98"/>
      <c r="P254" s="98"/>
      <c r="Q254" s="98"/>
      <c r="R254" s="98"/>
      <c r="S254" s="98"/>
      <c r="T254" s="98"/>
      <c r="U254" s="98"/>
    </row>
    <row r="255" ht="15.75" customHeight="1">
      <c r="E255" s="98"/>
      <c r="F255" s="98"/>
      <c r="G255" s="98"/>
      <c r="H255" s="98"/>
      <c r="I255" s="98"/>
      <c r="J255" s="98"/>
      <c r="K255" s="98"/>
      <c r="L255" s="98"/>
      <c r="M255" s="98"/>
      <c r="N255" s="98"/>
      <c r="O255" s="98"/>
      <c r="P255" s="98"/>
      <c r="Q255" s="98"/>
      <c r="R255" s="98"/>
      <c r="S255" s="98"/>
      <c r="T255" s="98"/>
      <c r="U255" s="98"/>
    </row>
    <row r="256" ht="15.75" customHeight="1">
      <c r="E256" s="98"/>
      <c r="F256" s="98"/>
      <c r="G256" s="98"/>
      <c r="H256" s="98"/>
      <c r="I256" s="98"/>
      <c r="J256" s="98"/>
      <c r="K256" s="98"/>
      <c r="L256" s="98"/>
      <c r="M256" s="98"/>
      <c r="N256" s="98"/>
      <c r="O256" s="98"/>
      <c r="P256" s="98"/>
      <c r="Q256" s="98"/>
      <c r="R256" s="98"/>
      <c r="S256" s="98"/>
      <c r="T256" s="98"/>
      <c r="U256" s="98"/>
    </row>
    <row r="257" ht="15.75" customHeight="1">
      <c r="E257" s="98"/>
      <c r="F257" s="98"/>
      <c r="G257" s="98"/>
      <c r="H257" s="98"/>
      <c r="I257" s="98"/>
      <c r="J257" s="98"/>
      <c r="K257" s="98"/>
      <c r="L257" s="98"/>
      <c r="M257" s="98"/>
      <c r="N257" s="98"/>
      <c r="O257" s="98"/>
      <c r="P257" s="98"/>
      <c r="Q257" s="98"/>
      <c r="R257" s="98"/>
      <c r="S257" s="98"/>
      <c r="T257" s="98"/>
      <c r="U257" s="98"/>
    </row>
    <row r="258" ht="15.75" customHeight="1">
      <c r="E258" s="98"/>
      <c r="F258" s="98"/>
      <c r="G258" s="98"/>
      <c r="H258" s="98"/>
      <c r="I258" s="98"/>
      <c r="J258" s="98"/>
      <c r="K258" s="98"/>
      <c r="L258" s="98"/>
      <c r="M258" s="98"/>
      <c r="N258" s="98"/>
      <c r="O258" s="98"/>
      <c r="P258" s="98"/>
      <c r="Q258" s="98"/>
      <c r="R258" s="98"/>
      <c r="S258" s="98"/>
      <c r="T258" s="98"/>
      <c r="U258" s="98"/>
    </row>
    <row r="259" ht="15.75" customHeight="1">
      <c r="E259" s="98"/>
      <c r="F259" s="98"/>
      <c r="G259" s="98"/>
      <c r="H259" s="98"/>
      <c r="I259" s="98"/>
      <c r="J259" s="98"/>
      <c r="K259" s="98"/>
      <c r="L259" s="98"/>
      <c r="M259" s="98"/>
      <c r="N259" s="98"/>
      <c r="O259" s="98"/>
      <c r="P259" s="98"/>
      <c r="Q259" s="98"/>
      <c r="R259" s="98"/>
      <c r="S259" s="98"/>
      <c r="T259" s="98"/>
      <c r="U259" s="98"/>
    </row>
    <row r="260" ht="15.75" customHeight="1">
      <c r="E260" s="98"/>
      <c r="F260" s="98"/>
      <c r="G260" s="98"/>
      <c r="H260" s="98"/>
      <c r="I260" s="98"/>
      <c r="J260" s="98"/>
      <c r="K260" s="98"/>
      <c r="L260" s="98"/>
      <c r="M260" s="98"/>
      <c r="N260" s="98"/>
      <c r="O260" s="98"/>
      <c r="P260" s="98"/>
      <c r="Q260" s="98"/>
      <c r="R260" s="98"/>
      <c r="S260" s="98"/>
      <c r="T260" s="98"/>
      <c r="U260" s="98"/>
    </row>
    <row r="261" ht="15.75" customHeight="1">
      <c r="E261" s="98"/>
      <c r="F261" s="98"/>
      <c r="G261" s="98"/>
      <c r="H261" s="98"/>
      <c r="I261" s="98"/>
      <c r="J261" s="98"/>
      <c r="K261" s="98"/>
      <c r="L261" s="98"/>
      <c r="M261" s="98"/>
      <c r="N261" s="98"/>
      <c r="O261" s="98"/>
      <c r="P261" s="98"/>
      <c r="Q261" s="98"/>
      <c r="R261" s="98"/>
      <c r="S261" s="98"/>
      <c r="T261" s="98"/>
      <c r="U261" s="98"/>
    </row>
    <row r="262" ht="15.75" customHeight="1">
      <c r="E262" s="98"/>
      <c r="F262" s="98"/>
      <c r="G262" s="98"/>
      <c r="H262" s="98"/>
      <c r="I262" s="98"/>
      <c r="J262" s="98"/>
      <c r="K262" s="98"/>
      <c r="L262" s="98"/>
      <c r="M262" s="98"/>
      <c r="N262" s="98"/>
      <c r="O262" s="98"/>
      <c r="P262" s="98"/>
      <c r="Q262" s="98"/>
      <c r="R262" s="98"/>
      <c r="S262" s="98"/>
      <c r="T262" s="98"/>
      <c r="U262" s="98"/>
    </row>
    <row r="263" ht="15.75" customHeight="1">
      <c r="E263" s="98"/>
      <c r="F263" s="98"/>
      <c r="G263" s="98"/>
      <c r="H263" s="98"/>
      <c r="I263" s="98"/>
      <c r="J263" s="98"/>
      <c r="K263" s="98"/>
      <c r="L263" s="98"/>
      <c r="M263" s="98"/>
      <c r="N263" s="98"/>
      <c r="O263" s="98"/>
      <c r="P263" s="98"/>
      <c r="Q263" s="98"/>
      <c r="R263" s="98"/>
      <c r="S263" s="98"/>
      <c r="T263" s="98"/>
      <c r="U263" s="98"/>
    </row>
    <row r="264" ht="15.75" customHeight="1">
      <c r="E264" s="98"/>
      <c r="F264" s="98"/>
      <c r="G264" s="98"/>
      <c r="H264" s="98"/>
      <c r="I264" s="98"/>
      <c r="J264" s="98"/>
      <c r="K264" s="98"/>
      <c r="L264" s="98"/>
      <c r="M264" s="98"/>
      <c r="N264" s="98"/>
      <c r="O264" s="98"/>
      <c r="P264" s="98"/>
      <c r="Q264" s="98"/>
      <c r="R264" s="98"/>
      <c r="S264" s="98"/>
      <c r="T264" s="98"/>
      <c r="U264" s="98"/>
    </row>
    <row r="265" ht="15.75" customHeight="1">
      <c r="E265" s="98"/>
      <c r="F265" s="98"/>
      <c r="G265" s="98"/>
      <c r="H265" s="98"/>
      <c r="I265" s="98"/>
      <c r="J265" s="98"/>
      <c r="K265" s="98"/>
      <c r="L265" s="98"/>
      <c r="M265" s="98"/>
      <c r="N265" s="98"/>
      <c r="O265" s="98"/>
      <c r="P265" s="98"/>
      <c r="Q265" s="98"/>
      <c r="R265" s="98"/>
      <c r="S265" s="98"/>
      <c r="T265" s="98"/>
      <c r="U265" s="98"/>
    </row>
    <row r="266" ht="15.75" customHeight="1">
      <c r="E266" s="98"/>
      <c r="F266" s="98"/>
      <c r="G266" s="98"/>
      <c r="H266" s="98"/>
      <c r="I266" s="98"/>
      <c r="J266" s="98"/>
      <c r="K266" s="98"/>
      <c r="L266" s="98"/>
      <c r="M266" s="98"/>
      <c r="N266" s="98"/>
      <c r="O266" s="98"/>
      <c r="P266" s="98"/>
      <c r="Q266" s="98"/>
      <c r="R266" s="98"/>
      <c r="S266" s="98"/>
      <c r="T266" s="98"/>
      <c r="U266" s="98"/>
    </row>
    <row r="267" ht="15.75" customHeight="1">
      <c r="E267" s="98"/>
      <c r="F267" s="98"/>
      <c r="G267" s="98"/>
      <c r="H267" s="98"/>
      <c r="I267" s="98"/>
      <c r="J267" s="98"/>
      <c r="K267" s="98"/>
      <c r="L267" s="98"/>
      <c r="M267" s="98"/>
      <c r="N267" s="98"/>
      <c r="O267" s="98"/>
      <c r="P267" s="98"/>
      <c r="Q267" s="98"/>
      <c r="R267" s="98"/>
      <c r="S267" s="98"/>
      <c r="T267" s="98"/>
      <c r="U267" s="98"/>
    </row>
    <row r="268" ht="15.75" customHeight="1">
      <c r="E268" s="98"/>
      <c r="F268" s="98"/>
      <c r="G268" s="98"/>
      <c r="H268" s="98"/>
      <c r="I268" s="98"/>
      <c r="J268" s="98"/>
      <c r="K268" s="98"/>
      <c r="L268" s="98"/>
      <c r="M268" s="98"/>
      <c r="N268" s="98"/>
      <c r="O268" s="98"/>
      <c r="P268" s="98"/>
      <c r="Q268" s="98"/>
      <c r="R268" s="98"/>
      <c r="S268" s="98"/>
      <c r="T268" s="98"/>
      <c r="U268" s="98"/>
    </row>
    <row r="269" ht="15.75" customHeight="1">
      <c r="E269" s="98"/>
      <c r="F269" s="98"/>
      <c r="G269" s="98"/>
      <c r="H269" s="98"/>
      <c r="I269" s="98"/>
      <c r="J269" s="98"/>
      <c r="K269" s="98"/>
      <c r="L269" s="98"/>
      <c r="M269" s="98"/>
      <c r="N269" s="98"/>
      <c r="O269" s="98"/>
      <c r="P269" s="98"/>
      <c r="Q269" s="98"/>
      <c r="R269" s="98"/>
      <c r="S269" s="98"/>
      <c r="T269" s="98"/>
      <c r="U269" s="98"/>
    </row>
    <row r="270" ht="15.75" customHeight="1">
      <c r="E270" s="98"/>
      <c r="F270" s="98"/>
      <c r="G270" s="98"/>
      <c r="H270" s="98"/>
      <c r="I270" s="98"/>
      <c r="J270" s="98"/>
      <c r="K270" s="98"/>
      <c r="L270" s="98"/>
      <c r="M270" s="98"/>
      <c r="N270" s="98"/>
      <c r="O270" s="98"/>
      <c r="P270" s="98"/>
      <c r="Q270" s="98"/>
      <c r="R270" s="98"/>
      <c r="S270" s="98"/>
      <c r="T270" s="98"/>
      <c r="U270" s="98"/>
    </row>
    <row r="271" ht="15.75" customHeight="1">
      <c r="E271" s="98"/>
      <c r="F271" s="98"/>
      <c r="G271" s="98"/>
      <c r="H271" s="98"/>
      <c r="I271" s="98"/>
      <c r="J271" s="98"/>
      <c r="K271" s="98"/>
      <c r="L271" s="98"/>
      <c r="M271" s="98"/>
      <c r="N271" s="98"/>
      <c r="O271" s="98"/>
      <c r="P271" s="98"/>
      <c r="Q271" s="98"/>
      <c r="R271" s="98"/>
      <c r="S271" s="98"/>
      <c r="T271" s="98"/>
      <c r="U271" s="98"/>
    </row>
    <row r="272" ht="15.75" customHeight="1">
      <c r="E272" s="98"/>
      <c r="F272" s="98"/>
      <c r="G272" s="98"/>
      <c r="H272" s="98"/>
      <c r="I272" s="98"/>
      <c r="J272" s="98"/>
      <c r="K272" s="98"/>
      <c r="L272" s="98"/>
      <c r="M272" s="98"/>
      <c r="N272" s="98"/>
      <c r="O272" s="98"/>
      <c r="P272" s="98"/>
      <c r="Q272" s="98"/>
      <c r="R272" s="98"/>
      <c r="S272" s="98"/>
      <c r="T272" s="98"/>
      <c r="U272" s="98"/>
    </row>
    <row r="273" ht="15.75" customHeight="1">
      <c r="E273" s="98"/>
      <c r="F273" s="98"/>
      <c r="G273" s="98"/>
      <c r="H273" s="98"/>
      <c r="I273" s="98"/>
      <c r="J273" s="98"/>
      <c r="K273" s="98"/>
      <c r="L273" s="98"/>
      <c r="M273" s="98"/>
      <c r="N273" s="98"/>
      <c r="O273" s="98"/>
      <c r="P273" s="98"/>
      <c r="Q273" s="98"/>
      <c r="R273" s="98"/>
      <c r="S273" s="98"/>
      <c r="T273" s="98"/>
      <c r="U273" s="98"/>
    </row>
    <row r="274" ht="15.75" customHeight="1">
      <c r="E274" s="98"/>
      <c r="F274" s="98"/>
      <c r="G274" s="98"/>
      <c r="H274" s="98"/>
      <c r="I274" s="98"/>
      <c r="J274" s="98"/>
      <c r="K274" s="98"/>
      <c r="L274" s="98"/>
      <c r="M274" s="98"/>
      <c r="N274" s="98"/>
      <c r="O274" s="98"/>
      <c r="P274" s="98"/>
      <c r="Q274" s="98"/>
      <c r="R274" s="98"/>
      <c r="S274" s="98"/>
      <c r="T274" s="98"/>
      <c r="U274" s="98"/>
    </row>
    <row r="275" ht="15.75" customHeight="1">
      <c r="E275" s="98"/>
      <c r="F275" s="98"/>
      <c r="G275" s="98"/>
      <c r="H275" s="98"/>
      <c r="I275" s="98"/>
      <c r="J275" s="98"/>
      <c r="K275" s="98"/>
      <c r="L275" s="98"/>
      <c r="M275" s="98"/>
      <c r="N275" s="98"/>
      <c r="O275" s="98"/>
      <c r="P275" s="98"/>
      <c r="Q275" s="98"/>
      <c r="R275" s="98"/>
      <c r="S275" s="98"/>
      <c r="T275" s="98"/>
      <c r="U275" s="98"/>
    </row>
    <row r="276" ht="15.75" customHeight="1">
      <c r="E276" s="98"/>
      <c r="F276" s="98"/>
      <c r="G276" s="98"/>
      <c r="H276" s="98"/>
      <c r="I276" s="98"/>
      <c r="J276" s="98"/>
      <c r="K276" s="98"/>
      <c r="L276" s="98"/>
      <c r="M276" s="98"/>
      <c r="N276" s="98"/>
      <c r="O276" s="98"/>
      <c r="P276" s="98"/>
      <c r="Q276" s="98"/>
      <c r="R276" s="98"/>
      <c r="S276" s="98"/>
      <c r="T276" s="98"/>
      <c r="U276" s="98"/>
    </row>
    <row r="277" ht="15.75" customHeight="1">
      <c r="E277" s="98"/>
      <c r="F277" s="98"/>
      <c r="G277" s="98"/>
      <c r="H277" s="98"/>
      <c r="I277" s="98"/>
      <c r="J277" s="98"/>
      <c r="K277" s="98"/>
      <c r="L277" s="98"/>
      <c r="M277" s="98"/>
      <c r="N277" s="98"/>
      <c r="O277" s="98"/>
      <c r="P277" s="98"/>
      <c r="Q277" s="98"/>
      <c r="R277" s="98"/>
      <c r="S277" s="98"/>
      <c r="T277" s="98"/>
      <c r="U277" s="98"/>
    </row>
    <row r="278" ht="15.75" customHeight="1">
      <c r="E278" s="98"/>
      <c r="F278" s="98"/>
      <c r="G278" s="98"/>
      <c r="H278" s="98"/>
      <c r="I278" s="98"/>
      <c r="J278" s="98"/>
      <c r="K278" s="98"/>
      <c r="L278" s="98"/>
      <c r="M278" s="98"/>
      <c r="N278" s="98"/>
      <c r="O278" s="98"/>
      <c r="P278" s="98"/>
      <c r="Q278" s="98"/>
      <c r="R278" s="98"/>
      <c r="S278" s="98"/>
      <c r="T278" s="98"/>
      <c r="U278" s="98"/>
    </row>
    <row r="279" ht="15.75" customHeight="1">
      <c r="E279" s="98"/>
      <c r="F279" s="98"/>
      <c r="G279" s="98"/>
      <c r="H279" s="98"/>
      <c r="I279" s="98"/>
      <c r="J279" s="98"/>
      <c r="K279" s="98"/>
      <c r="L279" s="98"/>
      <c r="M279" s="98"/>
      <c r="N279" s="98"/>
      <c r="O279" s="98"/>
      <c r="P279" s="98"/>
      <c r="Q279" s="98"/>
      <c r="R279" s="98"/>
      <c r="S279" s="98"/>
      <c r="T279" s="98"/>
      <c r="U279" s="98"/>
    </row>
    <row r="280" ht="15.75" customHeight="1">
      <c r="E280" s="98"/>
      <c r="F280" s="98"/>
      <c r="G280" s="98"/>
      <c r="H280" s="98"/>
      <c r="I280" s="98"/>
      <c r="J280" s="98"/>
      <c r="K280" s="98"/>
      <c r="L280" s="98"/>
      <c r="M280" s="98"/>
      <c r="N280" s="98"/>
      <c r="O280" s="98"/>
      <c r="P280" s="98"/>
      <c r="Q280" s="98"/>
      <c r="R280" s="98"/>
      <c r="S280" s="98"/>
      <c r="T280" s="98"/>
      <c r="U280" s="98"/>
    </row>
    <row r="281" ht="15.75" customHeight="1">
      <c r="E281" s="98"/>
      <c r="F281" s="98"/>
      <c r="G281" s="98"/>
      <c r="H281" s="98"/>
      <c r="I281" s="98"/>
      <c r="J281" s="98"/>
      <c r="K281" s="98"/>
      <c r="L281" s="98"/>
      <c r="M281" s="98"/>
      <c r="N281" s="98"/>
      <c r="O281" s="98"/>
      <c r="P281" s="98"/>
      <c r="Q281" s="98"/>
      <c r="R281" s="98"/>
      <c r="S281" s="98"/>
      <c r="T281" s="98"/>
      <c r="U281" s="98"/>
    </row>
    <row r="282" ht="15.75" customHeight="1">
      <c r="E282" s="98"/>
      <c r="F282" s="98"/>
      <c r="G282" s="98"/>
      <c r="H282" s="98"/>
      <c r="I282" s="98"/>
      <c r="J282" s="98"/>
      <c r="K282" s="98"/>
      <c r="L282" s="98"/>
      <c r="M282" s="98"/>
      <c r="N282" s="98"/>
      <c r="O282" s="98"/>
      <c r="P282" s="98"/>
      <c r="Q282" s="98"/>
      <c r="R282" s="98"/>
      <c r="S282" s="98"/>
      <c r="T282" s="98"/>
      <c r="U282" s="98"/>
    </row>
    <row r="283" ht="15.75" customHeight="1">
      <c r="E283" s="98"/>
      <c r="F283" s="98"/>
      <c r="G283" s="98"/>
      <c r="H283" s="98"/>
      <c r="I283" s="98"/>
      <c r="J283" s="98"/>
      <c r="K283" s="98"/>
      <c r="L283" s="98"/>
      <c r="M283" s="98"/>
      <c r="N283" s="98"/>
      <c r="O283" s="98"/>
      <c r="P283" s="98"/>
      <c r="Q283" s="98"/>
      <c r="R283" s="98"/>
      <c r="S283" s="98"/>
      <c r="T283" s="98"/>
      <c r="U283" s="98"/>
    </row>
    <row r="284" ht="15.75" customHeight="1">
      <c r="E284" s="98"/>
      <c r="F284" s="98"/>
      <c r="G284" s="98"/>
      <c r="H284" s="98"/>
      <c r="I284" s="98"/>
      <c r="J284" s="98"/>
      <c r="K284" s="98"/>
      <c r="L284" s="98"/>
      <c r="M284" s="98"/>
      <c r="N284" s="98"/>
      <c r="O284" s="98"/>
      <c r="P284" s="98"/>
      <c r="Q284" s="98"/>
      <c r="R284" s="98"/>
      <c r="S284" s="98"/>
      <c r="T284" s="98"/>
      <c r="U284" s="98"/>
    </row>
    <row r="285" ht="15.75" customHeight="1">
      <c r="E285" s="98"/>
      <c r="F285" s="98"/>
      <c r="G285" s="98"/>
      <c r="H285" s="98"/>
      <c r="I285" s="98"/>
      <c r="J285" s="98"/>
      <c r="K285" s="98"/>
      <c r="L285" s="98"/>
      <c r="M285" s="98"/>
      <c r="N285" s="98"/>
      <c r="O285" s="98"/>
      <c r="P285" s="98"/>
      <c r="Q285" s="98"/>
      <c r="R285" s="98"/>
      <c r="S285" s="98"/>
      <c r="T285" s="98"/>
      <c r="U285" s="98"/>
    </row>
    <row r="286" ht="15.75" customHeight="1">
      <c r="E286" s="98"/>
      <c r="F286" s="98"/>
      <c r="G286" s="98"/>
      <c r="H286" s="98"/>
      <c r="I286" s="98"/>
      <c r="J286" s="98"/>
      <c r="K286" s="98"/>
      <c r="L286" s="98"/>
      <c r="M286" s="98"/>
      <c r="N286" s="98"/>
      <c r="O286" s="98"/>
      <c r="P286" s="98"/>
      <c r="Q286" s="98"/>
      <c r="R286" s="98"/>
      <c r="S286" s="98"/>
      <c r="T286" s="98"/>
      <c r="U286" s="98"/>
    </row>
    <row r="287" ht="15.75" customHeight="1">
      <c r="E287" s="98"/>
      <c r="F287" s="98"/>
      <c r="G287" s="98"/>
      <c r="H287" s="98"/>
      <c r="I287" s="98"/>
      <c r="J287" s="98"/>
      <c r="K287" s="98"/>
      <c r="L287" s="98"/>
      <c r="M287" s="98"/>
      <c r="N287" s="98"/>
      <c r="O287" s="98"/>
      <c r="P287" s="98"/>
      <c r="Q287" s="98"/>
      <c r="R287" s="98"/>
      <c r="S287" s="98"/>
      <c r="T287" s="98"/>
      <c r="U287" s="98"/>
    </row>
    <row r="288" ht="15.75" customHeight="1">
      <c r="E288" s="98"/>
      <c r="F288" s="98"/>
      <c r="G288" s="98"/>
      <c r="H288" s="98"/>
      <c r="I288" s="98"/>
      <c r="J288" s="98"/>
      <c r="K288" s="98"/>
      <c r="L288" s="98"/>
      <c r="M288" s="98"/>
      <c r="N288" s="98"/>
      <c r="O288" s="98"/>
      <c r="P288" s="98"/>
      <c r="Q288" s="98"/>
      <c r="R288" s="98"/>
      <c r="S288" s="98"/>
      <c r="T288" s="98"/>
      <c r="U288" s="98"/>
    </row>
    <row r="289" ht="15.75" customHeight="1">
      <c r="E289" s="98"/>
      <c r="F289" s="98"/>
      <c r="G289" s="98"/>
      <c r="H289" s="98"/>
      <c r="I289" s="98"/>
      <c r="J289" s="98"/>
      <c r="K289" s="98"/>
      <c r="L289" s="98"/>
      <c r="M289" s="98"/>
      <c r="N289" s="98"/>
      <c r="O289" s="98"/>
      <c r="P289" s="98"/>
      <c r="Q289" s="98"/>
      <c r="R289" s="98"/>
      <c r="S289" s="98"/>
      <c r="T289" s="98"/>
      <c r="U289" s="98"/>
    </row>
    <row r="290" ht="15.75" customHeight="1">
      <c r="E290" s="98"/>
      <c r="F290" s="98"/>
      <c r="G290" s="98"/>
      <c r="H290" s="98"/>
      <c r="I290" s="98"/>
      <c r="J290" s="98"/>
      <c r="K290" s="98"/>
      <c r="L290" s="98"/>
      <c r="M290" s="98"/>
      <c r="N290" s="98"/>
      <c r="O290" s="98"/>
      <c r="P290" s="98"/>
      <c r="Q290" s="98"/>
      <c r="R290" s="98"/>
      <c r="S290" s="98"/>
      <c r="T290" s="98"/>
      <c r="U290" s="98"/>
    </row>
    <row r="291" ht="15.75" customHeight="1">
      <c r="E291" s="98"/>
      <c r="F291" s="98"/>
      <c r="G291" s="98"/>
      <c r="H291" s="98"/>
      <c r="I291" s="98"/>
      <c r="J291" s="98"/>
      <c r="K291" s="98"/>
      <c r="L291" s="98"/>
      <c r="M291" s="98"/>
      <c r="N291" s="98"/>
      <c r="O291" s="98"/>
      <c r="P291" s="98"/>
      <c r="Q291" s="98"/>
      <c r="R291" s="98"/>
      <c r="S291" s="98"/>
      <c r="T291" s="98"/>
      <c r="U291" s="98"/>
    </row>
    <row r="292" ht="15.75" customHeight="1">
      <c r="E292" s="98"/>
      <c r="F292" s="98"/>
      <c r="G292" s="98"/>
      <c r="H292" s="98"/>
      <c r="I292" s="98"/>
      <c r="J292" s="98"/>
      <c r="K292" s="98"/>
      <c r="L292" s="98"/>
      <c r="M292" s="98"/>
      <c r="N292" s="98"/>
      <c r="O292" s="98"/>
      <c r="P292" s="98"/>
      <c r="Q292" s="98"/>
      <c r="R292" s="98"/>
      <c r="S292" s="98"/>
      <c r="T292" s="98"/>
      <c r="U292" s="98"/>
    </row>
    <row r="293" ht="15.75" customHeight="1">
      <c r="E293" s="98"/>
      <c r="F293" s="98"/>
      <c r="G293" s="98"/>
      <c r="H293" s="98"/>
      <c r="I293" s="98"/>
      <c r="J293" s="98"/>
      <c r="K293" s="98"/>
      <c r="L293" s="98"/>
      <c r="M293" s="98"/>
      <c r="N293" s="98"/>
      <c r="O293" s="98"/>
      <c r="P293" s="98"/>
      <c r="Q293" s="98"/>
      <c r="R293" s="98"/>
      <c r="S293" s="98"/>
      <c r="T293" s="98"/>
      <c r="U293" s="98"/>
    </row>
    <row r="294" ht="15.75" customHeight="1">
      <c r="E294" s="98"/>
      <c r="F294" s="98"/>
      <c r="G294" s="98"/>
      <c r="H294" s="98"/>
      <c r="I294" s="98"/>
      <c r="J294" s="98"/>
      <c r="K294" s="98"/>
      <c r="L294" s="98"/>
      <c r="M294" s="98"/>
      <c r="N294" s="98"/>
      <c r="O294" s="98"/>
      <c r="P294" s="98"/>
      <c r="Q294" s="98"/>
      <c r="R294" s="98"/>
      <c r="S294" s="98"/>
      <c r="T294" s="98"/>
      <c r="U294" s="98"/>
    </row>
    <row r="295" ht="15.75" customHeight="1">
      <c r="E295" s="98"/>
      <c r="F295" s="98"/>
      <c r="G295" s="98"/>
      <c r="H295" s="98"/>
      <c r="I295" s="98"/>
      <c r="J295" s="98"/>
      <c r="K295" s="98"/>
      <c r="L295" s="98"/>
      <c r="M295" s="98"/>
      <c r="N295" s="98"/>
      <c r="O295" s="98"/>
      <c r="P295" s="98"/>
      <c r="Q295" s="98"/>
      <c r="R295" s="98"/>
      <c r="S295" s="98"/>
      <c r="T295" s="98"/>
      <c r="U295" s="98"/>
    </row>
    <row r="296" ht="15.75" customHeight="1">
      <c r="E296" s="98"/>
      <c r="F296" s="98"/>
      <c r="G296" s="98"/>
      <c r="H296" s="98"/>
      <c r="I296" s="98"/>
      <c r="J296" s="98"/>
      <c r="K296" s="98"/>
      <c r="L296" s="98"/>
      <c r="M296" s="98"/>
      <c r="N296" s="98"/>
      <c r="O296" s="98"/>
      <c r="P296" s="98"/>
      <c r="Q296" s="98"/>
      <c r="R296" s="98"/>
      <c r="S296" s="98"/>
      <c r="T296" s="98"/>
      <c r="U296" s="98"/>
    </row>
    <row r="297" ht="15.75" customHeight="1">
      <c r="E297" s="98"/>
      <c r="F297" s="98"/>
      <c r="G297" s="98"/>
      <c r="H297" s="98"/>
      <c r="I297" s="98"/>
      <c r="J297" s="98"/>
      <c r="K297" s="98"/>
      <c r="L297" s="98"/>
      <c r="M297" s="98"/>
      <c r="N297" s="98"/>
      <c r="O297" s="98"/>
      <c r="P297" s="98"/>
      <c r="Q297" s="98"/>
      <c r="R297" s="98"/>
      <c r="S297" s="98"/>
      <c r="T297" s="98"/>
      <c r="U297" s="98"/>
    </row>
    <row r="298" ht="15.75" customHeight="1">
      <c r="E298" s="98"/>
      <c r="F298" s="98"/>
      <c r="G298" s="98"/>
      <c r="H298" s="98"/>
      <c r="I298" s="98"/>
      <c r="J298" s="98"/>
      <c r="K298" s="98"/>
      <c r="L298" s="98"/>
      <c r="M298" s="98"/>
      <c r="N298" s="98"/>
      <c r="O298" s="98"/>
      <c r="P298" s="98"/>
      <c r="Q298" s="98"/>
      <c r="R298" s="98"/>
      <c r="S298" s="98"/>
      <c r="T298" s="98"/>
      <c r="U298" s="98"/>
    </row>
    <row r="299" ht="15.75" customHeight="1">
      <c r="E299" s="98"/>
      <c r="F299" s="98"/>
      <c r="G299" s="98"/>
      <c r="H299" s="98"/>
      <c r="I299" s="98"/>
      <c r="J299" s="98"/>
      <c r="K299" s="98"/>
      <c r="L299" s="98"/>
      <c r="M299" s="98"/>
      <c r="N299" s="98"/>
      <c r="O299" s="98"/>
      <c r="P299" s="98"/>
      <c r="Q299" s="98"/>
      <c r="R299" s="98"/>
      <c r="S299" s="98"/>
      <c r="T299" s="98"/>
      <c r="U299" s="98"/>
    </row>
    <row r="300" ht="15.75" customHeight="1">
      <c r="E300" s="98"/>
      <c r="F300" s="98"/>
      <c r="G300" s="98"/>
      <c r="H300" s="98"/>
      <c r="I300" s="98"/>
      <c r="J300" s="98"/>
      <c r="K300" s="98"/>
      <c r="L300" s="98"/>
      <c r="M300" s="98"/>
      <c r="N300" s="98"/>
      <c r="O300" s="98"/>
      <c r="P300" s="98"/>
      <c r="Q300" s="98"/>
      <c r="R300" s="98"/>
      <c r="S300" s="98"/>
      <c r="T300" s="98"/>
      <c r="U300" s="98"/>
    </row>
    <row r="301" ht="15.75" customHeight="1">
      <c r="E301" s="98"/>
      <c r="F301" s="98"/>
      <c r="G301" s="98"/>
      <c r="H301" s="98"/>
      <c r="I301" s="98"/>
      <c r="J301" s="98"/>
      <c r="K301" s="98"/>
      <c r="L301" s="98"/>
      <c r="M301" s="98"/>
      <c r="N301" s="98"/>
      <c r="O301" s="98"/>
      <c r="P301" s="98"/>
      <c r="Q301" s="98"/>
      <c r="R301" s="98"/>
      <c r="S301" s="98"/>
      <c r="T301" s="98"/>
      <c r="U301" s="98"/>
    </row>
    <row r="302" ht="15.75" customHeight="1">
      <c r="E302" s="98"/>
      <c r="F302" s="98"/>
      <c r="G302" s="98"/>
      <c r="H302" s="98"/>
      <c r="I302" s="98"/>
      <c r="J302" s="98"/>
      <c r="K302" s="98"/>
      <c r="L302" s="98"/>
      <c r="M302" s="98"/>
      <c r="N302" s="98"/>
      <c r="O302" s="98"/>
      <c r="P302" s="98"/>
      <c r="Q302" s="98"/>
      <c r="R302" s="98"/>
      <c r="S302" s="98"/>
      <c r="T302" s="98"/>
      <c r="U302" s="98"/>
    </row>
    <row r="303" ht="15.75" customHeight="1">
      <c r="E303" s="98"/>
      <c r="F303" s="98"/>
      <c r="G303" s="98"/>
      <c r="H303" s="98"/>
      <c r="I303" s="98"/>
      <c r="J303" s="98"/>
      <c r="K303" s="98"/>
      <c r="L303" s="98"/>
      <c r="M303" s="98"/>
      <c r="N303" s="98"/>
      <c r="O303" s="98"/>
      <c r="P303" s="98"/>
      <c r="Q303" s="98"/>
      <c r="R303" s="98"/>
      <c r="S303" s="98"/>
      <c r="T303" s="98"/>
      <c r="U303" s="98"/>
    </row>
    <row r="304" ht="15.75" customHeight="1">
      <c r="E304" s="98"/>
      <c r="F304" s="98"/>
      <c r="G304" s="98"/>
      <c r="H304" s="98"/>
      <c r="I304" s="98"/>
      <c r="J304" s="98"/>
      <c r="K304" s="98"/>
      <c r="L304" s="98"/>
      <c r="M304" s="98"/>
      <c r="N304" s="98"/>
      <c r="O304" s="98"/>
      <c r="P304" s="98"/>
      <c r="Q304" s="98"/>
      <c r="R304" s="98"/>
      <c r="S304" s="98"/>
      <c r="T304" s="98"/>
      <c r="U304" s="98"/>
    </row>
    <row r="305" ht="15.75" customHeight="1">
      <c r="E305" s="98"/>
      <c r="F305" s="98"/>
      <c r="G305" s="98"/>
      <c r="H305" s="98"/>
      <c r="I305" s="98"/>
      <c r="J305" s="98"/>
      <c r="K305" s="98"/>
      <c r="L305" s="98"/>
      <c r="M305" s="98"/>
      <c r="N305" s="98"/>
      <c r="O305" s="98"/>
      <c r="P305" s="98"/>
      <c r="Q305" s="98"/>
      <c r="R305" s="98"/>
      <c r="S305" s="98"/>
      <c r="T305" s="98"/>
      <c r="U305" s="98"/>
    </row>
    <row r="306" ht="15.75" customHeight="1">
      <c r="E306" s="98"/>
      <c r="F306" s="98"/>
      <c r="G306" s="98"/>
      <c r="H306" s="98"/>
      <c r="I306" s="98"/>
      <c r="J306" s="98"/>
      <c r="K306" s="98"/>
      <c r="L306" s="98"/>
      <c r="M306" s="98"/>
      <c r="N306" s="98"/>
      <c r="O306" s="98"/>
      <c r="P306" s="98"/>
      <c r="Q306" s="98"/>
      <c r="R306" s="98"/>
      <c r="S306" s="98"/>
      <c r="T306" s="98"/>
      <c r="U306" s="98"/>
    </row>
    <row r="307" ht="15.75" customHeight="1">
      <c r="E307" s="98"/>
      <c r="F307" s="98"/>
      <c r="G307" s="98"/>
      <c r="H307" s="98"/>
      <c r="I307" s="98"/>
      <c r="J307" s="98"/>
      <c r="K307" s="98"/>
      <c r="L307" s="98"/>
      <c r="M307" s="98"/>
      <c r="N307" s="98"/>
      <c r="O307" s="98"/>
      <c r="P307" s="98"/>
      <c r="Q307" s="98"/>
      <c r="R307" s="98"/>
      <c r="S307" s="98"/>
      <c r="T307" s="98"/>
      <c r="U307" s="98"/>
    </row>
    <row r="308" ht="15.75" customHeight="1">
      <c r="E308" s="98"/>
      <c r="F308" s="98"/>
      <c r="G308" s="98"/>
      <c r="H308" s="98"/>
      <c r="I308" s="98"/>
      <c r="J308" s="98"/>
      <c r="K308" s="98"/>
      <c r="L308" s="98"/>
      <c r="M308" s="98"/>
      <c r="N308" s="98"/>
      <c r="O308" s="98"/>
      <c r="P308" s="98"/>
      <c r="Q308" s="98"/>
      <c r="R308" s="98"/>
      <c r="S308" s="98"/>
      <c r="T308" s="98"/>
      <c r="U308" s="98"/>
    </row>
    <row r="309" ht="15.75" customHeight="1">
      <c r="E309" s="98"/>
      <c r="F309" s="98"/>
      <c r="G309" s="98"/>
      <c r="H309" s="98"/>
      <c r="I309" s="98"/>
      <c r="J309" s="98"/>
      <c r="K309" s="98"/>
      <c r="L309" s="98"/>
      <c r="M309" s="98"/>
      <c r="N309" s="98"/>
      <c r="O309" s="98"/>
      <c r="P309" s="98"/>
      <c r="Q309" s="98"/>
      <c r="R309" s="98"/>
      <c r="S309" s="98"/>
      <c r="T309" s="98"/>
      <c r="U309" s="98"/>
    </row>
    <row r="310" ht="15.75" customHeight="1">
      <c r="E310" s="98"/>
      <c r="F310" s="98"/>
      <c r="G310" s="98"/>
      <c r="H310" s="98"/>
      <c r="I310" s="98"/>
      <c r="J310" s="98"/>
      <c r="K310" s="98"/>
      <c r="L310" s="98"/>
      <c r="M310" s="98"/>
      <c r="N310" s="98"/>
      <c r="O310" s="98"/>
      <c r="P310" s="98"/>
      <c r="Q310" s="98"/>
      <c r="R310" s="98"/>
      <c r="S310" s="98"/>
      <c r="T310" s="98"/>
      <c r="U310" s="98"/>
    </row>
    <row r="311" ht="15.75" customHeight="1">
      <c r="E311" s="98"/>
      <c r="F311" s="98"/>
      <c r="G311" s="98"/>
      <c r="H311" s="98"/>
      <c r="I311" s="98"/>
      <c r="J311" s="98"/>
      <c r="K311" s="98"/>
      <c r="L311" s="98"/>
      <c r="M311" s="98"/>
      <c r="N311" s="98"/>
      <c r="O311" s="98"/>
      <c r="P311" s="98"/>
      <c r="Q311" s="98"/>
      <c r="R311" s="98"/>
      <c r="S311" s="98"/>
      <c r="T311" s="98"/>
      <c r="U311" s="98"/>
    </row>
    <row r="312" ht="15.75" customHeight="1">
      <c r="E312" s="98"/>
      <c r="F312" s="98"/>
      <c r="G312" s="98"/>
      <c r="H312" s="98"/>
      <c r="I312" s="98"/>
      <c r="J312" s="98"/>
      <c r="K312" s="98"/>
      <c r="L312" s="98"/>
      <c r="M312" s="98"/>
      <c r="N312" s="98"/>
      <c r="O312" s="98"/>
      <c r="P312" s="98"/>
      <c r="Q312" s="98"/>
      <c r="R312" s="98"/>
      <c r="S312" s="98"/>
      <c r="T312" s="98"/>
      <c r="U312" s="98"/>
    </row>
    <row r="313" ht="15.75" customHeight="1">
      <c r="E313" s="98"/>
      <c r="F313" s="98"/>
      <c r="G313" s="98"/>
      <c r="H313" s="98"/>
      <c r="I313" s="98"/>
      <c r="J313" s="98"/>
      <c r="K313" s="98"/>
      <c r="L313" s="98"/>
      <c r="M313" s="98"/>
      <c r="N313" s="98"/>
      <c r="O313" s="98"/>
      <c r="P313" s="98"/>
      <c r="Q313" s="98"/>
      <c r="R313" s="98"/>
      <c r="S313" s="98"/>
      <c r="T313" s="98"/>
      <c r="U313" s="98"/>
    </row>
    <row r="314" ht="15.75" customHeight="1">
      <c r="E314" s="98"/>
      <c r="F314" s="98"/>
      <c r="G314" s="98"/>
      <c r="H314" s="98"/>
      <c r="I314" s="98"/>
      <c r="J314" s="98"/>
      <c r="K314" s="98"/>
      <c r="L314" s="98"/>
      <c r="M314" s="98"/>
      <c r="N314" s="98"/>
      <c r="O314" s="98"/>
      <c r="P314" s="98"/>
      <c r="Q314" s="98"/>
      <c r="R314" s="98"/>
      <c r="S314" s="98"/>
      <c r="T314" s="98"/>
      <c r="U314" s="98"/>
    </row>
    <row r="315" ht="15.75" customHeight="1">
      <c r="E315" s="98"/>
      <c r="F315" s="98"/>
      <c r="G315" s="98"/>
      <c r="H315" s="98"/>
      <c r="I315" s="98"/>
      <c r="J315" s="98"/>
      <c r="K315" s="98"/>
      <c r="L315" s="98"/>
      <c r="M315" s="98"/>
      <c r="N315" s="98"/>
      <c r="O315" s="98"/>
      <c r="P315" s="98"/>
      <c r="Q315" s="98"/>
      <c r="R315" s="98"/>
      <c r="S315" s="98"/>
      <c r="T315" s="98"/>
      <c r="U315" s="98"/>
    </row>
    <row r="316" ht="15.75" customHeight="1">
      <c r="E316" s="98"/>
      <c r="F316" s="98"/>
      <c r="G316" s="98"/>
      <c r="H316" s="98"/>
      <c r="I316" s="98"/>
      <c r="J316" s="98"/>
      <c r="K316" s="98"/>
      <c r="L316" s="98"/>
      <c r="M316" s="98"/>
      <c r="N316" s="98"/>
      <c r="O316" s="98"/>
      <c r="P316" s="98"/>
      <c r="Q316" s="98"/>
      <c r="R316" s="98"/>
      <c r="S316" s="98"/>
      <c r="T316" s="98"/>
      <c r="U316" s="98"/>
    </row>
    <row r="317" ht="15.75" customHeight="1">
      <c r="E317" s="98"/>
      <c r="F317" s="98"/>
      <c r="G317" s="98"/>
      <c r="H317" s="98"/>
      <c r="I317" s="98"/>
      <c r="J317" s="98"/>
      <c r="K317" s="98"/>
      <c r="L317" s="98"/>
      <c r="M317" s="98"/>
      <c r="N317" s="98"/>
      <c r="O317" s="98"/>
      <c r="P317" s="98"/>
      <c r="Q317" s="98"/>
      <c r="R317" s="98"/>
      <c r="S317" s="98"/>
      <c r="T317" s="98"/>
      <c r="U317" s="98"/>
    </row>
    <row r="318" ht="15.75" customHeight="1">
      <c r="E318" s="98"/>
      <c r="F318" s="98"/>
      <c r="G318" s="98"/>
      <c r="H318" s="98"/>
      <c r="I318" s="98"/>
      <c r="J318" s="98"/>
      <c r="K318" s="98"/>
      <c r="L318" s="98"/>
      <c r="M318" s="98"/>
      <c r="N318" s="98"/>
      <c r="O318" s="98"/>
      <c r="P318" s="98"/>
      <c r="Q318" s="98"/>
      <c r="R318" s="98"/>
      <c r="S318" s="98"/>
      <c r="T318" s="98"/>
      <c r="U318" s="98"/>
    </row>
    <row r="319" ht="15.75" customHeight="1">
      <c r="E319" s="98"/>
      <c r="F319" s="98"/>
      <c r="G319" s="98"/>
      <c r="H319" s="98"/>
      <c r="I319" s="98"/>
      <c r="J319" s="98"/>
      <c r="K319" s="98"/>
      <c r="L319" s="98"/>
      <c r="M319" s="98"/>
      <c r="N319" s="98"/>
      <c r="O319" s="98"/>
      <c r="P319" s="98"/>
      <c r="Q319" s="98"/>
      <c r="R319" s="98"/>
      <c r="S319" s="98"/>
      <c r="T319" s="98"/>
      <c r="U319" s="98"/>
    </row>
    <row r="320" ht="15.75" customHeight="1">
      <c r="E320" s="98"/>
      <c r="F320" s="98"/>
      <c r="G320" s="98"/>
      <c r="H320" s="98"/>
      <c r="I320" s="98"/>
      <c r="J320" s="98"/>
      <c r="K320" s="98"/>
      <c r="L320" s="98"/>
      <c r="M320" s="98"/>
      <c r="N320" s="98"/>
      <c r="O320" s="98"/>
      <c r="P320" s="98"/>
      <c r="Q320" s="98"/>
      <c r="R320" s="98"/>
      <c r="S320" s="98"/>
      <c r="T320" s="98"/>
      <c r="U320" s="98"/>
    </row>
    <row r="321" ht="15.75" customHeight="1">
      <c r="E321" s="98"/>
      <c r="F321" s="98"/>
      <c r="G321" s="98"/>
      <c r="H321" s="98"/>
      <c r="I321" s="98"/>
      <c r="J321" s="98"/>
      <c r="K321" s="98"/>
      <c r="L321" s="98"/>
      <c r="M321" s="98"/>
      <c r="N321" s="98"/>
      <c r="O321" s="98"/>
      <c r="P321" s="98"/>
      <c r="Q321" s="98"/>
      <c r="R321" s="98"/>
      <c r="S321" s="98"/>
      <c r="T321" s="98"/>
      <c r="U321" s="98"/>
    </row>
    <row r="322" ht="15.75" customHeight="1">
      <c r="E322" s="98"/>
      <c r="F322" s="98"/>
      <c r="G322" s="98"/>
      <c r="H322" s="98"/>
      <c r="I322" s="98"/>
      <c r="J322" s="98"/>
      <c r="K322" s="98"/>
      <c r="L322" s="98"/>
      <c r="M322" s="98"/>
      <c r="N322" s="98"/>
      <c r="O322" s="98"/>
      <c r="P322" s="98"/>
      <c r="Q322" s="98"/>
      <c r="R322" s="98"/>
      <c r="S322" s="98"/>
      <c r="T322" s="98"/>
      <c r="U322" s="98"/>
    </row>
    <row r="323" ht="15.75" customHeight="1">
      <c r="E323" s="98"/>
      <c r="F323" s="98"/>
      <c r="G323" s="98"/>
      <c r="H323" s="98"/>
      <c r="I323" s="98"/>
      <c r="J323" s="98"/>
      <c r="K323" s="98"/>
      <c r="L323" s="98"/>
      <c r="M323" s="98"/>
      <c r="N323" s="98"/>
      <c r="O323" s="98"/>
      <c r="P323" s="98"/>
      <c r="Q323" s="98"/>
      <c r="R323" s="98"/>
      <c r="S323" s="98"/>
      <c r="T323" s="98"/>
      <c r="U323" s="98"/>
    </row>
    <row r="324" ht="15.75" customHeight="1">
      <c r="E324" s="98"/>
      <c r="F324" s="98"/>
      <c r="G324" s="98"/>
      <c r="H324" s="98"/>
      <c r="I324" s="98"/>
      <c r="J324" s="98"/>
      <c r="K324" s="98"/>
      <c r="L324" s="98"/>
      <c r="M324" s="98"/>
      <c r="N324" s="98"/>
      <c r="O324" s="98"/>
      <c r="P324" s="98"/>
      <c r="Q324" s="98"/>
      <c r="R324" s="98"/>
      <c r="S324" s="98"/>
      <c r="T324" s="98"/>
      <c r="U324" s="98"/>
    </row>
    <row r="325" ht="15.75" customHeight="1">
      <c r="E325" s="98"/>
      <c r="F325" s="98"/>
      <c r="G325" s="98"/>
      <c r="H325" s="98"/>
      <c r="I325" s="98"/>
      <c r="J325" s="98"/>
      <c r="K325" s="98"/>
      <c r="L325" s="98"/>
      <c r="M325" s="98"/>
      <c r="N325" s="98"/>
      <c r="O325" s="98"/>
      <c r="P325" s="98"/>
      <c r="Q325" s="98"/>
      <c r="R325" s="98"/>
      <c r="S325" s="98"/>
      <c r="T325" s="98"/>
      <c r="U325" s="98"/>
    </row>
    <row r="326" ht="15.75" customHeight="1">
      <c r="E326" s="98"/>
      <c r="F326" s="98"/>
      <c r="G326" s="98"/>
      <c r="H326" s="98"/>
      <c r="I326" s="98"/>
      <c r="J326" s="98"/>
      <c r="K326" s="98"/>
      <c r="L326" s="98"/>
      <c r="M326" s="98"/>
      <c r="N326" s="98"/>
      <c r="O326" s="98"/>
      <c r="P326" s="98"/>
      <c r="Q326" s="98"/>
      <c r="R326" s="98"/>
      <c r="S326" s="98"/>
      <c r="T326" s="98"/>
      <c r="U326" s="98"/>
    </row>
    <row r="327" ht="15.75" customHeight="1">
      <c r="E327" s="98"/>
      <c r="F327" s="98"/>
      <c r="G327" s="98"/>
      <c r="H327" s="98"/>
      <c r="I327" s="98"/>
      <c r="J327" s="98"/>
      <c r="K327" s="98"/>
      <c r="L327" s="98"/>
      <c r="M327" s="98"/>
      <c r="N327" s="98"/>
      <c r="O327" s="98"/>
      <c r="P327" s="98"/>
      <c r="Q327" s="98"/>
      <c r="R327" s="98"/>
      <c r="S327" s="98"/>
      <c r="T327" s="98"/>
      <c r="U327" s="98"/>
    </row>
    <row r="328" ht="15.75" customHeight="1">
      <c r="E328" s="98"/>
      <c r="F328" s="98"/>
      <c r="G328" s="98"/>
      <c r="H328" s="98"/>
      <c r="I328" s="98"/>
      <c r="J328" s="98"/>
      <c r="K328" s="98"/>
      <c r="L328" s="98"/>
      <c r="M328" s="98"/>
      <c r="N328" s="98"/>
      <c r="O328" s="98"/>
      <c r="P328" s="98"/>
      <c r="Q328" s="98"/>
      <c r="R328" s="98"/>
      <c r="S328" s="98"/>
      <c r="T328" s="98"/>
      <c r="U328" s="98"/>
    </row>
    <row r="329" ht="15.75" customHeight="1">
      <c r="E329" s="98"/>
      <c r="F329" s="98"/>
      <c r="G329" s="98"/>
      <c r="H329" s="98"/>
      <c r="I329" s="98"/>
      <c r="J329" s="98"/>
      <c r="K329" s="98"/>
      <c r="L329" s="98"/>
      <c r="M329" s="98"/>
      <c r="N329" s="98"/>
      <c r="O329" s="98"/>
      <c r="P329" s="98"/>
      <c r="Q329" s="98"/>
      <c r="R329" s="98"/>
      <c r="S329" s="98"/>
      <c r="T329" s="98"/>
      <c r="U329" s="98"/>
    </row>
    <row r="330" ht="15.75" customHeight="1">
      <c r="E330" s="98"/>
      <c r="F330" s="98"/>
      <c r="G330" s="98"/>
      <c r="H330" s="98"/>
      <c r="I330" s="98"/>
      <c r="J330" s="98"/>
      <c r="K330" s="98"/>
      <c r="L330" s="98"/>
      <c r="M330" s="98"/>
      <c r="N330" s="98"/>
      <c r="O330" s="98"/>
      <c r="P330" s="98"/>
      <c r="Q330" s="98"/>
      <c r="R330" s="98"/>
      <c r="S330" s="98"/>
      <c r="T330" s="98"/>
      <c r="U330" s="98"/>
    </row>
    <row r="331" ht="15.75" customHeight="1">
      <c r="E331" s="98"/>
      <c r="F331" s="98"/>
      <c r="G331" s="98"/>
      <c r="H331" s="98"/>
      <c r="I331" s="98"/>
      <c r="J331" s="98"/>
      <c r="K331" s="98"/>
      <c r="L331" s="98"/>
      <c r="M331" s="98"/>
      <c r="N331" s="98"/>
      <c r="O331" s="98"/>
      <c r="P331" s="98"/>
      <c r="Q331" s="98"/>
      <c r="R331" s="98"/>
      <c r="S331" s="98"/>
      <c r="T331" s="98"/>
      <c r="U331" s="98"/>
    </row>
    <row r="332" ht="15.75" customHeight="1">
      <c r="E332" s="98"/>
      <c r="F332" s="98"/>
      <c r="G332" s="98"/>
      <c r="H332" s="98"/>
      <c r="I332" s="98"/>
      <c r="J332" s="98"/>
      <c r="K332" s="98"/>
      <c r="L332" s="98"/>
      <c r="M332" s="98"/>
      <c r="N332" s="98"/>
      <c r="O332" s="98"/>
      <c r="P332" s="98"/>
      <c r="Q332" s="98"/>
      <c r="R332" s="98"/>
      <c r="S332" s="98"/>
      <c r="T332" s="98"/>
      <c r="U332" s="98"/>
    </row>
    <row r="333" ht="15.75" customHeight="1">
      <c r="E333" s="98"/>
      <c r="F333" s="98"/>
      <c r="G333" s="98"/>
      <c r="H333" s="98"/>
      <c r="I333" s="98"/>
      <c r="J333" s="98"/>
      <c r="K333" s="98"/>
      <c r="L333" s="98"/>
      <c r="M333" s="98"/>
      <c r="N333" s="98"/>
      <c r="O333" s="98"/>
      <c r="P333" s="98"/>
      <c r="Q333" s="98"/>
      <c r="R333" s="98"/>
      <c r="S333" s="98"/>
      <c r="T333" s="98"/>
      <c r="U333" s="98"/>
    </row>
    <row r="334" ht="15.75" customHeight="1">
      <c r="E334" s="98"/>
      <c r="F334" s="98"/>
      <c r="G334" s="98"/>
      <c r="H334" s="98"/>
      <c r="I334" s="98"/>
      <c r="J334" s="98"/>
      <c r="K334" s="98"/>
      <c r="L334" s="98"/>
      <c r="M334" s="98"/>
      <c r="N334" s="98"/>
      <c r="O334" s="98"/>
      <c r="P334" s="98"/>
      <c r="Q334" s="98"/>
      <c r="R334" s="98"/>
      <c r="S334" s="98"/>
      <c r="T334" s="98"/>
      <c r="U334" s="98"/>
    </row>
    <row r="335" ht="15.75" customHeight="1">
      <c r="E335" s="98"/>
      <c r="F335" s="98"/>
      <c r="G335" s="98"/>
      <c r="H335" s="98"/>
      <c r="I335" s="98"/>
      <c r="J335" s="98"/>
      <c r="K335" s="98"/>
      <c r="L335" s="98"/>
      <c r="M335" s="98"/>
      <c r="N335" s="98"/>
      <c r="O335" s="98"/>
      <c r="P335" s="98"/>
      <c r="Q335" s="98"/>
      <c r="R335" s="98"/>
      <c r="S335" s="98"/>
      <c r="T335" s="98"/>
      <c r="U335" s="98"/>
    </row>
    <row r="336" ht="15.75" customHeight="1">
      <c r="E336" s="98"/>
      <c r="F336" s="98"/>
      <c r="G336" s="98"/>
      <c r="H336" s="98"/>
      <c r="I336" s="98"/>
      <c r="J336" s="98"/>
      <c r="K336" s="98"/>
      <c r="L336" s="98"/>
      <c r="M336" s="98"/>
      <c r="N336" s="98"/>
      <c r="O336" s="98"/>
      <c r="P336" s="98"/>
      <c r="Q336" s="98"/>
      <c r="R336" s="98"/>
      <c r="S336" s="98"/>
      <c r="T336" s="98"/>
      <c r="U336" s="98"/>
    </row>
    <row r="337" ht="15.75" customHeight="1">
      <c r="E337" s="98"/>
      <c r="F337" s="98"/>
      <c r="G337" s="98"/>
      <c r="H337" s="98"/>
      <c r="I337" s="98"/>
      <c r="J337" s="98"/>
      <c r="K337" s="98"/>
      <c r="L337" s="98"/>
      <c r="M337" s="98"/>
      <c r="N337" s="98"/>
      <c r="O337" s="98"/>
      <c r="P337" s="98"/>
      <c r="Q337" s="98"/>
      <c r="R337" s="98"/>
      <c r="S337" s="98"/>
      <c r="T337" s="98"/>
      <c r="U337" s="98"/>
    </row>
    <row r="338" ht="15.75" customHeight="1">
      <c r="E338" s="98"/>
      <c r="F338" s="98"/>
      <c r="G338" s="98"/>
      <c r="H338" s="98"/>
      <c r="I338" s="98"/>
      <c r="J338" s="98"/>
      <c r="K338" s="98"/>
      <c r="L338" s="98"/>
      <c r="M338" s="98"/>
      <c r="N338" s="98"/>
      <c r="O338" s="98"/>
      <c r="P338" s="98"/>
      <c r="Q338" s="98"/>
      <c r="R338" s="98"/>
      <c r="S338" s="98"/>
      <c r="T338" s="98"/>
      <c r="U338" s="98"/>
    </row>
    <row r="339" ht="15.75" customHeight="1">
      <c r="E339" s="98"/>
      <c r="F339" s="98"/>
      <c r="G339" s="98"/>
      <c r="H339" s="98"/>
      <c r="I339" s="98"/>
      <c r="J339" s="98"/>
      <c r="K339" s="98"/>
      <c r="L339" s="98"/>
      <c r="M339" s="98"/>
      <c r="N339" s="98"/>
      <c r="O339" s="98"/>
      <c r="P339" s="98"/>
      <c r="Q339" s="98"/>
      <c r="R339" s="98"/>
      <c r="S339" s="98"/>
      <c r="T339" s="98"/>
      <c r="U339" s="98"/>
    </row>
    <row r="340" ht="15.75" customHeight="1">
      <c r="E340" s="98"/>
      <c r="F340" s="98"/>
      <c r="G340" s="98"/>
      <c r="H340" s="98"/>
      <c r="I340" s="98"/>
      <c r="J340" s="98"/>
      <c r="K340" s="98"/>
      <c r="L340" s="98"/>
      <c r="M340" s="98"/>
      <c r="N340" s="98"/>
      <c r="O340" s="98"/>
      <c r="P340" s="98"/>
      <c r="Q340" s="98"/>
      <c r="R340" s="98"/>
      <c r="S340" s="98"/>
      <c r="T340" s="98"/>
      <c r="U340" s="98"/>
    </row>
    <row r="341" ht="15.75" customHeight="1">
      <c r="E341" s="98"/>
      <c r="F341" s="98"/>
      <c r="G341" s="98"/>
      <c r="H341" s="98"/>
      <c r="I341" s="98"/>
      <c r="J341" s="98"/>
      <c r="K341" s="98"/>
      <c r="L341" s="98"/>
      <c r="M341" s="98"/>
      <c r="N341" s="98"/>
      <c r="O341" s="98"/>
      <c r="P341" s="98"/>
      <c r="Q341" s="98"/>
      <c r="R341" s="98"/>
      <c r="S341" s="98"/>
      <c r="T341" s="98"/>
      <c r="U341" s="98"/>
    </row>
    <row r="342" ht="15.75" customHeight="1">
      <c r="E342" s="98"/>
      <c r="F342" s="98"/>
      <c r="G342" s="98"/>
      <c r="H342" s="98"/>
      <c r="I342" s="98"/>
      <c r="J342" s="98"/>
      <c r="K342" s="98"/>
      <c r="L342" s="98"/>
      <c r="M342" s="98"/>
      <c r="N342" s="98"/>
      <c r="O342" s="98"/>
      <c r="P342" s="98"/>
      <c r="Q342" s="98"/>
      <c r="R342" s="98"/>
      <c r="S342" s="98"/>
      <c r="T342" s="98"/>
      <c r="U342" s="98"/>
    </row>
    <row r="343" ht="15.75" customHeight="1">
      <c r="E343" s="98"/>
      <c r="F343" s="98"/>
      <c r="G343" s="98"/>
      <c r="H343" s="98"/>
      <c r="I343" s="98"/>
      <c r="J343" s="98"/>
      <c r="K343" s="98"/>
      <c r="L343" s="98"/>
      <c r="M343" s="98"/>
      <c r="N343" s="98"/>
      <c r="O343" s="98"/>
      <c r="P343" s="98"/>
      <c r="Q343" s="98"/>
      <c r="R343" s="98"/>
      <c r="S343" s="98"/>
      <c r="T343" s="98"/>
      <c r="U343" s="98"/>
    </row>
    <row r="344" ht="15.75" customHeight="1">
      <c r="E344" s="98"/>
      <c r="F344" s="98"/>
      <c r="G344" s="98"/>
      <c r="H344" s="98"/>
      <c r="I344" s="98"/>
      <c r="J344" s="98"/>
      <c r="K344" s="98"/>
      <c r="L344" s="98"/>
      <c r="M344" s="98"/>
      <c r="N344" s="98"/>
      <c r="O344" s="98"/>
      <c r="P344" s="98"/>
      <c r="Q344" s="98"/>
      <c r="R344" s="98"/>
      <c r="S344" s="98"/>
      <c r="T344" s="98"/>
      <c r="U344" s="98"/>
    </row>
    <row r="345" ht="15.75" customHeight="1">
      <c r="E345" s="98"/>
      <c r="F345" s="98"/>
      <c r="G345" s="98"/>
      <c r="H345" s="98"/>
      <c r="I345" s="98"/>
      <c r="J345" s="98"/>
      <c r="K345" s="98"/>
      <c r="L345" s="98"/>
      <c r="M345" s="98"/>
      <c r="N345" s="98"/>
      <c r="O345" s="98"/>
      <c r="P345" s="98"/>
      <c r="Q345" s="98"/>
      <c r="R345" s="98"/>
      <c r="S345" s="98"/>
      <c r="T345" s="98"/>
      <c r="U345" s="98"/>
    </row>
    <row r="346" ht="15.75" customHeight="1">
      <c r="E346" s="98"/>
      <c r="F346" s="98"/>
      <c r="G346" s="98"/>
      <c r="H346" s="98"/>
      <c r="I346" s="98"/>
      <c r="J346" s="98"/>
      <c r="K346" s="98"/>
      <c r="L346" s="98"/>
      <c r="M346" s="98"/>
      <c r="N346" s="98"/>
      <c r="O346" s="98"/>
      <c r="P346" s="98"/>
      <c r="Q346" s="98"/>
      <c r="R346" s="98"/>
      <c r="S346" s="98"/>
      <c r="T346" s="98"/>
      <c r="U346" s="98"/>
    </row>
    <row r="347" ht="15.75" customHeight="1">
      <c r="E347" s="98"/>
      <c r="F347" s="98"/>
      <c r="G347" s="98"/>
      <c r="H347" s="98"/>
      <c r="I347" s="98"/>
      <c r="J347" s="98"/>
      <c r="K347" s="98"/>
      <c r="L347" s="98"/>
      <c r="M347" s="98"/>
      <c r="N347" s="98"/>
      <c r="O347" s="98"/>
      <c r="P347" s="98"/>
      <c r="Q347" s="98"/>
      <c r="R347" s="98"/>
      <c r="S347" s="98"/>
      <c r="T347" s="98"/>
      <c r="U347" s="98"/>
    </row>
    <row r="348" ht="15.75" customHeight="1">
      <c r="E348" s="98"/>
      <c r="F348" s="98"/>
      <c r="G348" s="98"/>
      <c r="H348" s="98"/>
      <c r="I348" s="98"/>
      <c r="J348" s="98"/>
      <c r="K348" s="98"/>
      <c r="L348" s="98"/>
      <c r="M348" s="98"/>
      <c r="N348" s="98"/>
      <c r="O348" s="98"/>
      <c r="P348" s="98"/>
      <c r="Q348" s="98"/>
      <c r="R348" s="98"/>
      <c r="S348" s="98"/>
      <c r="T348" s="98"/>
      <c r="U348" s="98"/>
    </row>
    <row r="349" ht="15.75" customHeight="1">
      <c r="E349" s="98"/>
      <c r="F349" s="98"/>
      <c r="G349" s="98"/>
      <c r="H349" s="98"/>
      <c r="I349" s="98"/>
      <c r="J349" s="98"/>
      <c r="K349" s="98"/>
      <c r="L349" s="98"/>
      <c r="M349" s="98"/>
      <c r="N349" s="98"/>
      <c r="O349" s="98"/>
      <c r="P349" s="98"/>
      <c r="Q349" s="98"/>
      <c r="R349" s="98"/>
      <c r="S349" s="98"/>
      <c r="T349" s="98"/>
      <c r="U349" s="98"/>
    </row>
    <row r="350" ht="15.75" customHeight="1">
      <c r="E350" s="98"/>
      <c r="F350" s="98"/>
      <c r="G350" s="98"/>
      <c r="H350" s="98"/>
      <c r="I350" s="98"/>
      <c r="J350" s="98"/>
      <c r="K350" s="98"/>
      <c r="L350" s="98"/>
      <c r="M350" s="98"/>
      <c r="N350" s="98"/>
      <c r="O350" s="98"/>
      <c r="P350" s="98"/>
      <c r="Q350" s="98"/>
      <c r="R350" s="98"/>
      <c r="S350" s="98"/>
      <c r="T350" s="98"/>
      <c r="U350" s="98"/>
    </row>
    <row r="351" ht="15.75" customHeight="1">
      <c r="E351" s="98"/>
      <c r="F351" s="98"/>
      <c r="G351" s="98"/>
      <c r="H351" s="98"/>
      <c r="I351" s="98"/>
      <c r="J351" s="98"/>
      <c r="K351" s="98"/>
      <c r="L351" s="98"/>
      <c r="M351" s="98"/>
      <c r="N351" s="98"/>
      <c r="O351" s="98"/>
      <c r="P351" s="98"/>
      <c r="Q351" s="98"/>
      <c r="R351" s="98"/>
      <c r="S351" s="98"/>
      <c r="T351" s="98"/>
      <c r="U351" s="98"/>
    </row>
    <row r="352" ht="15.75" customHeight="1">
      <c r="E352" s="98"/>
      <c r="F352" s="98"/>
      <c r="G352" s="98"/>
      <c r="H352" s="98"/>
      <c r="I352" s="98"/>
      <c r="J352" s="98"/>
      <c r="K352" s="98"/>
      <c r="L352" s="98"/>
      <c r="M352" s="98"/>
      <c r="N352" s="98"/>
      <c r="O352" s="98"/>
      <c r="P352" s="98"/>
      <c r="Q352" s="98"/>
      <c r="R352" s="98"/>
      <c r="S352" s="98"/>
      <c r="T352" s="98"/>
      <c r="U352" s="98"/>
    </row>
    <row r="353" ht="15.75" customHeight="1">
      <c r="E353" s="98"/>
      <c r="F353" s="98"/>
      <c r="G353" s="98"/>
      <c r="H353" s="98"/>
      <c r="I353" s="98"/>
      <c r="J353" s="98"/>
      <c r="K353" s="98"/>
      <c r="L353" s="98"/>
      <c r="M353" s="98"/>
      <c r="N353" s="98"/>
      <c r="O353" s="98"/>
      <c r="P353" s="98"/>
      <c r="Q353" s="98"/>
      <c r="R353" s="98"/>
      <c r="S353" s="98"/>
      <c r="T353" s="98"/>
      <c r="U353" s="98"/>
    </row>
    <row r="354" ht="15.75" customHeight="1">
      <c r="E354" s="98"/>
      <c r="F354" s="98"/>
      <c r="G354" s="98"/>
      <c r="H354" s="98"/>
      <c r="I354" s="98"/>
      <c r="J354" s="98"/>
      <c r="K354" s="98"/>
      <c r="L354" s="98"/>
      <c r="M354" s="98"/>
      <c r="N354" s="98"/>
      <c r="O354" s="98"/>
      <c r="P354" s="98"/>
      <c r="Q354" s="98"/>
      <c r="R354" s="98"/>
      <c r="S354" s="98"/>
      <c r="T354" s="98"/>
      <c r="U354" s="98"/>
    </row>
    <row r="355" ht="15.75" customHeight="1">
      <c r="E355" s="98"/>
      <c r="F355" s="98"/>
      <c r="G355" s="98"/>
      <c r="H355" s="98"/>
      <c r="I355" s="98"/>
      <c r="J355" s="98"/>
      <c r="K355" s="98"/>
      <c r="L355" s="98"/>
      <c r="M355" s="98"/>
      <c r="N355" s="98"/>
      <c r="O355" s="98"/>
      <c r="P355" s="98"/>
      <c r="Q355" s="98"/>
      <c r="R355" s="98"/>
      <c r="S355" s="98"/>
      <c r="T355" s="98"/>
      <c r="U355" s="98"/>
    </row>
    <row r="356" ht="15.75" customHeight="1">
      <c r="E356" s="98"/>
      <c r="F356" s="98"/>
      <c r="G356" s="98"/>
      <c r="H356" s="98"/>
      <c r="I356" s="98"/>
      <c r="J356" s="98"/>
      <c r="K356" s="98"/>
      <c r="L356" s="98"/>
      <c r="M356" s="98"/>
      <c r="N356" s="98"/>
      <c r="O356" s="98"/>
      <c r="P356" s="98"/>
      <c r="Q356" s="98"/>
      <c r="R356" s="98"/>
      <c r="S356" s="98"/>
      <c r="T356" s="98"/>
      <c r="U356" s="98"/>
    </row>
    <row r="357" ht="15.75" customHeight="1">
      <c r="E357" s="98"/>
      <c r="F357" s="98"/>
      <c r="G357" s="98"/>
      <c r="H357" s="98"/>
      <c r="I357" s="98"/>
      <c r="J357" s="98"/>
      <c r="K357" s="98"/>
      <c r="L357" s="98"/>
      <c r="M357" s="98"/>
      <c r="N357" s="98"/>
      <c r="O357" s="98"/>
      <c r="P357" s="98"/>
      <c r="Q357" s="98"/>
      <c r="R357" s="98"/>
      <c r="S357" s="98"/>
      <c r="T357" s="98"/>
      <c r="U357" s="98"/>
    </row>
    <row r="358" ht="15.75" customHeight="1">
      <c r="E358" s="98"/>
      <c r="F358" s="98"/>
      <c r="G358" s="98"/>
      <c r="H358" s="98"/>
      <c r="I358" s="98"/>
      <c r="J358" s="98"/>
      <c r="K358" s="98"/>
      <c r="L358" s="98"/>
      <c r="M358" s="98"/>
      <c r="N358" s="98"/>
      <c r="O358" s="98"/>
      <c r="P358" s="98"/>
      <c r="Q358" s="98"/>
      <c r="R358" s="98"/>
      <c r="S358" s="98"/>
      <c r="T358" s="98"/>
      <c r="U358" s="98"/>
    </row>
    <row r="359" ht="15.75" customHeight="1">
      <c r="E359" s="98"/>
      <c r="F359" s="98"/>
      <c r="G359" s="98"/>
      <c r="H359" s="98"/>
      <c r="I359" s="98"/>
      <c r="J359" s="98"/>
      <c r="K359" s="98"/>
      <c r="L359" s="98"/>
      <c r="M359" s="98"/>
      <c r="N359" s="98"/>
      <c r="O359" s="98"/>
      <c r="P359" s="98"/>
      <c r="Q359" s="98"/>
      <c r="R359" s="98"/>
      <c r="S359" s="98"/>
      <c r="T359" s="98"/>
      <c r="U359" s="98"/>
    </row>
    <row r="360" ht="15.75" customHeight="1">
      <c r="E360" s="98"/>
      <c r="F360" s="98"/>
      <c r="G360" s="98"/>
      <c r="H360" s="98"/>
      <c r="I360" s="98"/>
      <c r="J360" s="98"/>
      <c r="K360" s="98"/>
      <c r="L360" s="98"/>
      <c r="M360" s="98"/>
      <c r="N360" s="98"/>
      <c r="O360" s="98"/>
      <c r="P360" s="98"/>
      <c r="Q360" s="98"/>
      <c r="R360" s="98"/>
      <c r="S360" s="98"/>
      <c r="T360" s="98"/>
      <c r="U360" s="98"/>
    </row>
    <row r="361" ht="15.75" customHeight="1">
      <c r="E361" s="98"/>
      <c r="F361" s="98"/>
      <c r="G361" s="98"/>
      <c r="H361" s="98"/>
      <c r="I361" s="98"/>
      <c r="J361" s="98"/>
      <c r="K361" s="98"/>
      <c r="L361" s="98"/>
      <c r="M361" s="98"/>
      <c r="N361" s="98"/>
      <c r="O361" s="98"/>
      <c r="P361" s="98"/>
      <c r="Q361" s="98"/>
      <c r="R361" s="98"/>
      <c r="S361" s="98"/>
      <c r="T361" s="98"/>
      <c r="U361" s="98"/>
    </row>
    <row r="362" ht="15.75" customHeight="1">
      <c r="E362" s="98"/>
      <c r="F362" s="98"/>
      <c r="G362" s="98"/>
      <c r="H362" s="98"/>
      <c r="I362" s="98"/>
      <c r="J362" s="98"/>
      <c r="K362" s="98"/>
      <c r="L362" s="98"/>
      <c r="M362" s="98"/>
      <c r="N362" s="98"/>
      <c r="O362" s="98"/>
      <c r="P362" s="98"/>
      <c r="Q362" s="98"/>
      <c r="R362" s="98"/>
      <c r="S362" s="98"/>
      <c r="T362" s="98"/>
      <c r="U362" s="98"/>
    </row>
    <row r="363" ht="15.75" customHeight="1">
      <c r="E363" s="98"/>
      <c r="F363" s="98"/>
      <c r="G363" s="98"/>
      <c r="H363" s="98"/>
      <c r="I363" s="98"/>
      <c r="J363" s="98"/>
      <c r="K363" s="98"/>
      <c r="L363" s="98"/>
      <c r="M363" s="98"/>
      <c r="N363" s="98"/>
      <c r="O363" s="98"/>
      <c r="P363" s="98"/>
      <c r="Q363" s="98"/>
      <c r="R363" s="98"/>
      <c r="S363" s="98"/>
      <c r="T363" s="98"/>
      <c r="U363" s="98"/>
    </row>
    <row r="364" ht="15.75" customHeight="1">
      <c r="E364" s="98"/>
      <c r="F364" s="98"/>
      <c r="G364" s="98"/>
      <c r="H364" s="98"/>
      <c r="I364" s="98"/>
      <c r="J364" s="98"/>
      <c r="K364" s="98"/>
      <c r="L364" s="98"/>
      <c r="M364" s="98"/>
      <c r="N364" s="98"/>
      <c r="O364" s="98"/>
      <c r="P364" s="98"/>
      <c r="Q364" s="98"/>
      <c r="R364" s="98"/>
      <c r="S364" s="98"/>
      <c r="T364" s="98"/>
      <c r="U364" s="98"/>
    </row>
    <row r="365" ht="15.75" customHeight="1">
      <c r="E365" s="98"/>
      <c r="F365" s="98"/>
      <c r="G365" s="98"/>
      <c r="H365" s="98"/>
      <c r="I365" s="98"/>
      <c r="J365" s="98"/>
      <c r="K365" s="98"/>
      <c r="L365" s="98"/>
      <c r="M365" s="98"/>
      <c r="N365" s="98"/>
      <c r="O365" s="98"/>
      <c r="P365" s="98"/>
      <c r="Q365" s="98"/>
      <c r="R365" s="98"/>
      <c r="S365" s="98"/>
      <c r="T365" s="98"/>
      <c r="U365" s="98"/>
    </row>
    <row r="366" ht="15.75" customHeight="1">
      <c r="E366" s="98"/>
      <c r="F366" s="98"/>
      <c r="G366" s="98"/>
      <c r="H366" s="98"/>
      <c r="I366" s="98"/>
      <c r="J366" s="98"/>
      <c r="K366" s="98"/>
      <c r="L366" s="98"/>
      <c r="M366" s="98"/>
      <c r="N366" s="98"/>
      <c r="O366" s="98"/>
      <c r="P366" s="98"/>
      <c r="Q366" s="98"/>
      <c r="R366" s="98"/>
      <c r="S366" s="98"/>
      <c r="T366" s="98"/>
      <c r="U366" s="98"/>
    </row>
    <row r="367" ht="15.75" customHeight="1">
      <c r="E367" s="98"/>
      <c r="F367" s="98"/>
      <c r="G367" s="98"/>
      <c r="H367" s="98"/>
      <c r="I367" s="98"/>
      <c r="J367" s="98"/>
      <c r="K367" s="98"/>
      <c r="L367" s="98"/>
      <c r="M367" s="98"/>
      <c r="N367" s="98"/>
      <c r="O367" s="98"/>
      <c r="P367" s="98"/>
      <c r="Q367" s="98"/>
      <c r="R367" s="98"/>
      <c r="S367" s="98"/>
      <c r="T367" s="98"/>
      <c r="U367" s="98"/>
    </row>
    <row r="368" ht="15.75" customHeight="1">
      <c r="E368" s="98"/>
      <c r="F368" s="98"/>
      <c r="G368" s="98"/>
      <c r="H368" s="98"/>
      <c r="I368" s="98"/>
      <c r="J368" s="98"/>
      <c r="K368" s="98"/>
      <c r="L368" s="98"/>
      <c r="M368" s="98"/>
      <c r="N368" s="98"/>
      <c r="O368" s="98"/>
      <c r="P368" s="98"/>
      <c r="Q368" s="98"/>
      <c r="R368" s="98"/>
      <c r="S368" s="98"/>
      <c r="T368" s="98"/>
      <c r="U368" s="98"/>
    </row>
    <row r="369" ht="15.75" customHeight="1">
      <c r="E369" s="98"/>
      <c r="F369" s="98"/>
      <c r="G369" s="98"/>
      <c r="H369" s="98"/>
      <c r="I369" s="98"/>
      <c r="J369" s="98"/>
      <c r="K369" s="98"/>
      <c r="L369" s="98"/>
      <c r="M369" s="98"/>
      <c r="N369" s="98"/>
      <c r="O369" s="98"/>
      <c r="P369" s="98"/>
      <c r="Q369" s="98"/>
      <c r="R369" s="98"/>
      <c r="S369" s="98"/>
      <c r="T369" s="98"/>
      <c r="U369" s="98"/>
    </row>
    <row r="370" ht="15.75" customHeight="1">
      <c r="E370" s="98"/>
      <c r="F370" s="98"/>
      <c r="G370" s="98"/>
      <c r="H370" s="98"/>
      <c r="I370" s="98"/>
      <c r="J370" s="98"/>
      <c r="K370" s="98"/>
      <c r="L370" s="98"/>
      <c r="M370" s="98"/>
      <c r="N370" s="98"/>
      <c r="O370" s="98"/>
      <c r="P370" s="98"/>
      <c r="Q370" s="98"/>
      <c r="R370" s="98"/>
      <c r="S370" s="98"/>
      <c r="T370" s="98"/>
      <c r="U370" s="98"/>
    </row>
    <row r="371" ht="15.75" customHeight="1">
      <c r="E371" s="98"/>
      <c r="F371" s="98"/>
      <c r="G371" s="98"/>
      <c r="H371" s="98"/>
      <c r="I371" s="98"/>
      <c r="J371" s="98"/>
      <c r="K371" s="98"/>
      <c r="L371" s="98"/>
      <c r="M371" s="98"/>
      <c r="N371" s="98"/>
      <c r="O371" s="98"/>
      <c r="P371" s="98"/>
      <c r="Q371" s="98"/>
      <c r="R371" s="98"/>
      <c r="S371" s="98"/>
      <c r="T371" s="98"/>
      <c r="U371" s="98"/>
    </row>
    <row r="372" ht="15.75" customHeight="1">
      <c r="E372" s="98"/>
      <c r="F372" s="98"/>
      <c r="G372" s="98"/>
      <c r="H372" s="98"/>
      <c r="I372" s="98"/>
      <c r="J372" s="98"/>
      <c r="K372" s="98"/>
      <c r="L372" s="98"/>
      <c r="M372" s="98"/>
      <c r="N372" s="98"/>
      <c r="O372" s="98"/>
      <c r="P372" s="98"/>
      <c r="Q372" s="98"/>
      <c r="R372" s="98"/>
      <c r="S372" s="98"/>
      <c r="T372" s="98"/>
      <c r="U372" s="98"/>
    </row>
    <row r="373" ht="15.75" customHeight="1">
      <c r="E373" s="98"/>
      <c r="F373" s="98"/>
      <c r="G373" s="98"/>
      <c r="H373" s="98"/>
      <c r="I373" s="98"/>
      <c r="J373" s="98"/>
      <c r="K373" s="98"/>
      <c r="L373" s="98"/>
      <c r="M373" s="98"/>
      <c r="N373" s="98"/>
      <c r="O373" s="98"/>
      <c r="P373" s="98"/>
      <c r="Q373" s="98"/>
      <c r="R373" s="98"/>
      <c r="S373" s="98"/>
      <c r="T373" s="98"/>
      <c r="U373" s="98"/>
    </row>
    <row r="374" ht="15.75" customHeight="1">
      <c r="E374" s="98"/>
      <c r="F374" s="98"/>
      <c r="G374" s="98"/>
      <c r="H374" s="98"/>
      <c r="I374" s="98"/>
      <c r="J374" s="98"/>
      <c r="K374" s="98"/>
      <c r="L374" s="98"/>
      <c r="M374" s="98"/>
      <c r="N374" s="98"/>
      <c r="O374" s="98"/>
      <c r="P374" s="98"/>
      <c r="Q374" s="98"/>
      <c r="R374" s="98"/>
      <c r="S374" s="98"/>
      <c r="T374" s="98"/>
      <c r="U374" s="98"/>
    </row>
    <row r="375" ht="15.75" customHeight="1">
      <c r="E375" s="98"/>
      <c r="F375" s="98"/>
      <c r="G375" s="98"/>
      <c r="H375" s="98"/>
      <c r="I375" s="98"/>
      <c r="J375" s="98"/>
      <c r="K375" s="98"/>
      <c r="L375" s="98"/>
      <c r="M375" s="98"/>
      <c r="N375" s="98"/>
      <c r="O375" s="98"/>
      <c r="P375" s="98"/>
      <c r="Q375" s="98"/>
      <c r="R375" s="98"/>
      <c r="S375" s="98"/>
      <c r="T375" s="98"/>
      <c r="U375" s="98"/>
    </row>
    <row r="376" ht="15.75" customHeight="1">
      <c r="E376" s="98"/>
      <c r="F376" s="98"/>
      <c r="G376" s="98"/>
      <c r="H376" s="98"/>
      <c r="I376" s="98"/>
      <c r="J376" s="98"/>
      <c r="K376" s="98"/>
      <c r="L376" s="98"/>
      <c r="M376" s="98"/>
      <c r="N376" s="98"/>
      <c r="O376" s="98"/>
      <c r="P376" s="98"/>
      <c r="Q376" s="98"/>
      <c r="R376" s="98"/>
      <c r="S376" s="98"/>
      <c r="T376" s="98"/>
      <c r="U376" s="98"/>
    </row>
    <row r="377" ht="15.75" customHeight="1">
      <c r="E377" s="98"/>
      <c r="F377" s="98"/>
      <c r="G377" s="98"/>
      <c r="H377" s="98"/>
      <c r="I377" s="98"/>
      <c r="J377" s="98"/>
      <c r="K377" s="98"/>
      <c r="L377" s="98"/>
      <c r="M377" s="98"/>
      <c r="N377" s="98"/>
      <c r="O377" s="98"/>
      <c r="P377" s="98"/>
      <c r="Q377" s="98"/>
      <c r="R377" s="98"/>
      <c r="S377" s="98"/>
      <c r="T377" s="98"/>
      <c r="U377" s="98"/>
    </row>
    <row r="378" ht="15.75" customHeight="1">
      <c r="E378" s="98"/>
      <c r="F378" s="98"/>
      <c r="G378" s="98"/>
      <c r="H378" s="98"/>
      <c r="I378" s="98"/>
      <c r="J378" s="98"/>
      <c r="K378" s="98"/>
      <c r="L378" s="98"/>
      <c r="M378" s="98"/>
      <c r="N378" s="98"/>
      <c r="O378" s="98"/>
      <c r="P378" s="98"/>
      <c r="Q378" s="98"/>
      <c r="R378" s="98"/>
      <c r="S378" s="98"/>
      <c r="T378" s="98"/>
      <c r="U378" s="98"/>
    </row>
    <row r="379" ht="15.75" customHeight="1">
      <c r="E379" s="98"/>
      <c r="F379" s="98"/>
      <c r="G379" s="98"/>
      <c r="H379" s="98"/>
      <c r="I379" s="98"/>
      <c r="J379" s="98"/>
      <c r="K379" s="98"/>
      <c r="L379" s="98"/>
      <c r="M379" s="98"/>
      <c r="N379" s="98"/>
      <c r="O379" s="98"/>
      <c r="P379" s="98"/>
      <c r="Q379" s="98"/>
      <c r="R379" s="98"/>
      <c r="S379" s="98"/>
      <c r="T379" s="98"/>
      <c r="U379" s="98"/>
    </row>
    <row r="380" ht="15.75" customHeight="1">
      <c r="E380" s="98"/>
      <c r="F380" s="98"/>
      <c r="G380" s="98"/>
      <c r="H380" s="98"/>
      <c r="I380" s="98"/>
      <c r="J380" s="98"/>
      <c r="K380" s="98"/>
      <c r="L380" s="98"/>
      <c r="M380" s="98"/>
      <c r="N380" s="98"/>
      <c r="O380" s="98"/>
      <c r="P380" s="98"/>
      <c r="Q380" s="98"/>
      <c r="R380" s="98"/>
      <c r="S380" s="98"/>
      <c r="T380" s="98"/>
      <c r="U380" s="98"/>
    </row>
    <row r="381" ht="15.75" customHeight="1">
      <c r="E381" s="98"/>
      <c r="F381" s="98"/>
      <c r="G381" s="98"/>
      <c r="H381" s="98"/>
      <c r="I381" s="98"/>
      <c r="J381" s="98"/>
      <c r="K381" s="98"/>
      <c r="L381" s="98"/>
      <c r="M381" s="98"/>
      <c r="N381" s="98"/>
      <c r="O381" s="98"/>
      <c r="P381" s="98"/>
      <c r="Q381" s="98"/>
      <c r="R381" s="98"/>
      <c r="S381" s="98"/>
      <c r="T381" s="98"/>
      <c r="U381" s="98"/>
    </row>
    <row r="382" ht="15.75" customHeight="1">
      <c r="E382" s="98"/>
      <c r="F382" s="98"/>
      <c r="G382" s="98"/>
      <c r="H382" s="98"/>
      <c r="I382" s="98"/>
      <c r="J382" s="98"/>
      <c r="K382" s="98"/>
      <c r="L382" s="98"/>
      <c r="M382" s="98"/>
      <c r="N382" s="98"/>
      <c r="O382" s="98"/>
      <c r="P382" s="98"/>
      <c r="Q382" s="98"/>
      <c r="R382" s="98"/>
      <c r="S382" s="98"/>
      <c r="T382" s="98"/>
      <c r="U382" s="98"/>
    </row>
    <row r="383" ht="15.75" customHeight="1">
      <c r="E383" s="98"/>
      <c r="F383" s="98"/>
      <c r="G383" s="98"/>
      <c r="H383" s="98"/>
      <c r="I383" s="98"/>
      <c r="J383" s="98"/>
      <c r="K383" s="98"/>
      <c r="L383" s="98"/>
      <c r="M383" s="98"/>
      <c r="N383" s="98"/>
      <c r="O383" s="98"/>
      <c r="P383" s="98"/>
      <c r="Q383" s="98"/>
      <c r="R383" s="98"/>
      <c r="S383" s="98"/>
      <c r="T383" s="98"/>
      <c r="U383" s="98"/>
    </row>
    <row r="384" ht="15.75" customHeight="1">
      <c r="E384" s="98"/>
      <c r="F384" s="98"/>
      <c r="G384" s="98"/>
      <c r="H384" s="98"/>
      <c r="I384" s="98"/>
      <c r="J384" s="98"/>
      <c r="K384" s="98"/>
      <c r="L384" s="98"/>
      <c r="M384" s="98"/>
      <c r="N384" s="98"/>
      <c r="O384" s="98"/>
      <c r="P384" s="98"/>
      <c r="Q384" s="98"/>
      <c r="R384" s="98"/>
      <c r="S384" s="98"/>
      <c r="T384" s="98"/>
      <c r="U384" s="98"/>
    </row>
    <row r="385" ht="15.75" customHeight="1">
      <c r="E385" s="98"/>
      <c r="F385" s="98"/>
      <c r="G385" s="98"/>
      <c r="H385" s="98"/>
      <c r="I385" s="98"/>
      <c r="J385" s="98"/>
      <c r="K385" s="98"/>
      <c r="L385" s="98"/>
      <c r="M385" s="98"/>
      <c r="N385" s="98"/>
      <c r="O385" s="98"/>
      <c r="P385" s="98"/>
      <c r="Q385" s="98"/>
      <c r="R385" s="98"/>
      <c r="S385" s="98"/>
      <c r="T385" s="98"/>
      <c r="U385" s="98"/>
    </row>
    <row r="386" ht="15.75" customHeight="1">
      <c r="E386" s="98"/>
      <c r="F386" s="98"/>
      <c r="G386" s="98"/>
      <c r="H386" s="98"/>
      <c r="I386" s="98"/>
      <c r="J386" s="98"/>
      <c r="K386" s="98"/>
      <c r="L386" s="98"/>
      <c r="M386" s="98"/>
      <c r="N386" s="98"/>
      <c r="O386" s="98"/>
      <c r="P386" s="98"/>
      <c r="Q386" s="98"/>
      <c r="R386" s="98"/>
      <c r="S386" s="98"/>
      <c r="T386" s="98"/>
      <c r="U386" s="98"/>
    </row>
    <row r="387" ht="15.75" customHeight="1">
      <c r="E387" s="98"/>
      <c r="F387" s="98"/>
      <c r="G387" s="98"/>
      <c r="H387" s="98"/>
      <c r="I387" s="98"/>
      <c r="J387" s="98"/>
      <c r="K387" s="98"/>
      <c r="L387" s="98"/>
      <c r="M387" s="98"/>
      <c r="N387" s="98"/>
      <c r="O387" s="98"/>
      <c r="P387" s="98"/>
      <c r="Q387" s="98"/>
      <c r="R387" s="98"/>
      <c r="S387" s="98"/>
      <c r="T387" s="98"/>
      <c r="U387" s="98"/>
    </row>
    <row r="388" ht="15.75" customHeight="1">
      <c r="E388" s="98"/>
      <c r="F388" s="98"/>
      <c r="G388" s="98"/>
      <c r="H388" s="98"/>
      <c r="I388" s="98"/>
      <c r="J388" s="98"/>
      <c r="K388" s="98"/>
      <c r="L388" s="98"/>
      <c r="M388" s="98"/>
      <c r="N388" s="98"/>
      <c r="O388" s="98"/>
      <c r="P388" s="98"/>
      <c r="Q388" s="98"/>
      <c r="R388" s="98"/>
      <c r="S388" s="98"/>
      <c r="T388" s="98"/>
      <c r="U388" s="98"/>
    </row>
    <row r="389" ht="15.75" customHeight="1">
      <c r="E389" s="98"/>
      <c r="F389" s="98"/>
      <c r="G389" s="98"/>
      <c r="H389" s="98"/>
      <c r="I389" s="98"/>
      <c r="J389" s="98"/>
      <c r="K389" s="98"/>
      <c r="L389" s="98"/>
      <c r="M389" s="98"/>
      <c r="N389" s="98"/>
      <c r="O389" s="98"/>
      <c r="P389" s="98"/>
      <c r="Q389" s="98"/>
      <c r="R389" s="98"/>
      <c r="S389" s="98"/>
      <c r="T389" s="98"/>
      <c r="U389" s="98"/>
    </row>
    <row r="390" ht="15.75" customHeight="1">
      <c r="E390" s="98"/>
      <c r="F390" s="98"/>
      <c r="G390" s="98"/>
      <c r="H390" s="98"/>
      <c r="I390" s="98"/>
      <c r="J390" s="98"/>
      <c r="K390" s="98"/>
      <c r="L390" s="98"/>
      <c r="M390" s="98"/>
      <c r="N390" s="98"/>
      <c r="O390" s="98"/>
      <c r="P390" s="98"/>
      <c r="Q390" s="98"/>
      <c r="R390" s="98"/>
      <c r="S390" s="98"/>
      <c r="T390" s="98"/>
      <c r="U390" s="98"/>
    </row>
    <row r="391" ht="15.75" customHeight="1">
      <c r="E391" s="98"/>
      <c r="F391" s="98"/>
      <c r="G391" s="98"/>
      <c r="H391" s="98"/>
      <c r="I391" s="98"/>
      <c r="J391" s="98"/>
      <c r="K391" s="98"/>
      <c r="L391" s="98"/>
      <c r="M391" s="98"/>
      <c r="N391" s="98"/>
      <c r="O391" s="98"/>
      <c r="P391" s="98"/>
      <c r="Q391" s="98"/>
      <c r="R391" s="98"/>
      <c r="S391" s="98"/>
      <c r="T391" s="98"/>
      <c r="U391" s="98"/>
    </row>
    <row r="392" ht="15.75" customHeight="1">
      <c r="E392" s="98"/>
      <c r="F392" s="98"/>
      <c r="G392" s="98"/>
      <c r="H392" s="98"/>
      <c r="I392" s="98"/>
      <c r="J392" s="98"/>
      <c r="K392" s="98"/>
      <c r="L392" s="98"/>
      <c r="M392" s="98"/>
      <c r="N392" s="98"/>
      <c r="O392" s="98"/>
      <c r="P392" s="98"/>
      <c r="Q392" s="98"/>
      <c r="R392" s="98"/>
      <c r="S392" s="98"/>
      <c r="T392" s="98"/>
      <c r="U392" s="98"/>
    </row>
    <row r="393" ht="15.75" customHeight="1">
      <c r="E393" s="98"/>
      <c r="F393" s="98"/>
      <c r="G393" s="98"/>
      <c r="H393" s="98"/>
      <c r="I393" s="98"/>
      <c r="J393" s="98"/>
      <c r="K393" s="98"/>
      <c r="L393" s="98"/>
      <c r="M393" s="98"/>
      <c r="N393" s="98"/>
      <c r="O393" s="98"/>
      <c r="P393" s="98"/>
      <c r="Q393" s="98"/>
      <c r="R393" s="98"/>
      <c r="S393" s="98"/>
      <c r="T393" s="98"/>
      <c r="U393" s="98"/>
    </row>
    <row r="394" ht="15.75" customHeight="1">
      <c r="E394" s="98"/>
      <c r="F394" s="98"/>
      <c r="G394" s="98"/>
      <c r="H394" s="98"/>
      <c r="I394" s="98"/>
      <c r="J394" s="98"/>
      <c r="K394" s="98"/>
      <c r="L394" s="98"/>
      <c r="M394" s="98"/>
      <c r="N394" s="98"/>
      <c r="O394" s="98"/>
      <c r="P394" s="98"/>
      <c r="Q394" s="98"/>
      <c r="R394" s="98"/>
      <c r="S394" s="98"/>
      <c r="T394" s="98"/>
      <c r="U394" s="98"/>
    </row>
    <row r="395" ht="15.75" customHeight="1">
      <c r="E395" s="98"/>
      <c r="F395" s="98"/>
      <c r="G395" s="98"/>
      <c r="H395" s="98"/>
      <c r="I395" s="98"/>
      <c r="J395" s="98"/>
      <c r="K395" s="98"/>
      <c r="L395" s="98"/>
      <c r="M395" s="98"/>
      <c r="N395" s="98"/>
      <c r="O395" s="98"/>
      <c r="P395" s="98"/>
      <c r="Q395" s="98"/>
      <c r="R395" s="98"/>
      <c r="S395" s="98"/>
      <c r="T395" s="98"/>
      <c r="U395" s="98"/>
    </row>
    <row r="396" ht="15.75" customHeight="1">
      <c r="E396" s="98"/>
      <c r="F396" s="98"/>
      <c r="G396" s="98"/>
      <c r="H396" s="98"/>
      <c r="I396" s="98"/>
      <c r="J396" s="98"/>
      <c r="K396" s="98"/>
      <c r="L396" s="98"/>
      <c r="M396" s="98"/>
      <c r="N396" s="98"/>
      <c r="O396" s="98"/>
      <c r="P396" s="98"/>
      <c r="Q396" s="98"/>
      <c r="R396" s="98"/>
      <c r="S396" s="98"/>
      <c r="T396" s="98"/>
      <c r="U396" s="98"/>
    </row>
    <row r="397" ht="15.75" customHeight="1">
      <c r="E397" s="98"/>
      <c r="F397" s="98"/>
      <c r="G397" s="98"/>
      <c r="H397" s="98"/>
      <c r="I397" s="98"/>
      <c r="J397" s="98"/>
      <c r="K397" s="98"/>
      <c r="L397" s="98"/>
      <c r="M397" s="98"/>
      <c r="N397" s="98"/>
      <c r="O397" s="98"/>
      <c r="P397" s="98"/>
      <c r="Q397" s="98"/>
      <c r="R397" s="98"/>
      <c r="S397" s="98"/>
      <c r="T397" s="98"/>
      <c r="U397" s="98"/>
    </row>
    <row r="398" ht="15.75" customHeight="1">
      <c r="E398" s="98"/>
      <c r="F398" s="98"/>
      <c r="G398" s="98"/>
      <c r="H398" s="98"/>
      <c r="I398" s="98"/>
      <c r="J398" s="98"/>
      <c r="K398" s="98"/>
      <c r="L398" s="98"/>
      <c r="M398" s="98"/>
      <c r="N398" s="98"/>
      <c r="O398" s="98"/>
      <c r="P398" s="98"/>
      <c r="Q398" s="98"/>
      <c r="R398" s="98"/>
      <c r="S398" s="98"/>
      <c r="T398" s="98"/>
      <c r="U398" s="98"/>
    </row>
    <row r="399" ht="15.75" customHeight="1">
      <c r="E399" s="98"/>
      <c r="F399" s="98"/>
      <c r="G399" s="98"/>
      <c r="H399" s="98"/>
      <c r="I399" s="98"/>
      <c r="J399" s="98"/>
      <c r="K399" s="98"/>
      <c r="L399" s="98"/>
      <c r="M399" s="98"/>
      <c r="N399" s="98"/>
      <c r="O399" s="98"/>
      <c r="P399" s="98"/>
      <c r="Q399" s="98"/>
      <c r="R399" s="98"/>
      <c r="S399" s="98"/>
      <c r="T399" s="98"/>
      <c r="U399" s="98"/>
    </row>
    <row r="400" ht="15.75" customHeight="1">
      <c r="E400" s="98"/>
      <c r="F400" s="98"/>
      <c r="G400" s="98"/>
      <c r="H400" s="98"/>
      <c r="I400" s="98"/>
      <c r="J400" s="98"/>
      <c r="K400" s="98"/>
      <c r="L400" s="98"/>
      <c r="M400" s="98"/>
      <c r="N400" s="98"/>
      <c r="O400" s="98"/>
      <c r="P400" s="98"/>
      <c r="Q400" s="98"/>
      <c r="R400" s="98"/>
      <c r="S400" s="98"/>
      <c r="T400" s="98"/>
      <c r="U400" s="98"/>
    </row>
    <row r="401" ht="15.75" customHeight="1">
      <c r="E401" s="98"/>
      <c r="F401" s="98"/>
      <c r="G401" s="98"/>
      <c r="H401" s="98"/>
      <c r="I401" s="98"/>
      <c r="J401" s="98"/>
      <c r="K401" s="98"/>
      <c r="L401" s="98"/>
      <c r="M401" s="98"/>
      <c r="N401" s="98"/>
      <c r="O401" s="98"/>
      <c r="P401" s="98"/>
      <c r="Q401" s="98"/>
      <c r="R401" s="98"/>
      <c r="S401" s="98"/>
      <c r="T401" s="98"/>
      <c r="U401" s="98"/>
    </row>
    <row r="402" ht="15.75" customHeight="1">
      <c r="E402" s="98"/>
      <c r="F402" s="98"/>
      <c r="G402" s="98"/>
      <c r="H402" s="98"/>
      <c r="I402" s="98"/>
      <c r="J402" s="98"/>
      <c r="K402" s="98"/>
      <c r="L402" s="98"/>
      <c r="M402" s="98"/>
      <c r="N402" s="98"/>
      <c r="O402" s="98"/>
      <c r="P402" s="98"/>
      <c r="Q402" s="98"/>
      <c r="R402" s="98"/>
      <c r="S402" s="98"/>
      <c r="T402" s="98"/>
      <c r="U402" s="98"/>
    </row>
    <row r="403" ht="15.75" customHeight="1">
      <c r="E403" s="98"/>
      <c r="F403" s="98"/>
      <c r="G403" s="98"/>
      <c r="H403" s="98"/>
      <c r="I403" s="98"/>
      <c r="J403" s="98"/>
      <c r="K403" s="98"/>
      <c r="L403" s="98"/>
      <c r="M403" s="98"/>
      <c r="N403" s="98"/>
      <c r="O403" s="98"/>
      <c r="P403" s="98"/>
      <c r="Q403" s="98"/>
      <c r="R403" s="98"/>
      <c r="S403" s="98"/>
      <c r="T403" s="98"/>
      <c r="U403" s="98"/>
    </row>
    <row r="404" ht="15.75" customHeight="1">
      <c r="E404" s="98"/>
      <c r="F404" s="98"/>
      <c r="G404" s="98"/>
      <c r="H404" s="98"/>
      <c r="I404" s="98"/>
      <c r="J404" s="98"/>
      <c r="K404" s="98"/>
      <c r="L404" s="98"/>
      <c r="M404" s="98"/>
      <c r="N404" s="98"/>
      <c r="O404" s="98"/>
      <c r="P404" s="98"/>
      <c r="Q404" s="98"/>
      <c r="R404" s="98"/>
      <c r="S404" s="98"/>
      <c r="T404" s="98"/>
      <c r="U404" s="98"/>
    </row>
    <row r="405" ht="15.75" customHeight="1">
      <c r="E405" s="98"/>
      <c r="F405" s="98"/>
      <c r="G405" s="98"/>
      <c r="H405" s="98"/>
      <c r="I405" s="98"/>
      <c r="J405" s="98"/>
      <c r="K405" s="98"/>
      <c r="L405" s="98"/>
      <c r="M405" s="98"/>
      <c r="N405" s="98"/>
      <c r="O405" s="98"/>
      <c r="P405" s="98"/>
      <c r="Q405" s="98"/>
      <c r="R405" s="98"/>
      <c r="S405" s="98"/>
      <c r="T405" s="98"/>
      <c r="U405" s="98"/>
    </row>
    <row r="406" ht="15.75" customHeight="1">
      <c r="E406" s="98"/>
      <c r="F406" s="98"/>
      <c r="G406" s="98"/>
      <c r="H406" s="98"/>
      <c r="I406" s="98"/>
      <c r="J406" s="98"/>
      <c r="K406" s="98"/>
      <c r="L406" s="98"/>
      <c r="M406" s="98"/>
      <c r="N406" s="98"/>
      <c r="O406" s="98"/>
      <c r="P406" s="98"/>
      <c r="Q406" s="98"/>
      <c r="R406" s="98"/>
      <c r="S406" s="98"/>
      <c r="T406" s="98"/>
      <c r="U406" s="98"/>
    </row>
    <row r="407" ht="15.75" customHeight="1">
      <c r="E407" s="98"/>
      <c r="F407" s="98"/>
      <c r="G407" s="98"/>
      <c r="H407" s="98"/>
      <c r="I407" s="98"/>
      <c r="J407" s="98"/>
      <c r="K407" s="98"/>
      <c r="L407" s="98"/>
      <c r="M407" s="98"/>
      <c r="N407" s="98"/>
      <c r="O407" s="98"/>
      <c r="P407" s="98"/>
      <c r="Q407" s="98"/>
      <c r="R407" s="98"/>
      <c r="S407" s="98"/>
      <c r="T407" s="98"/>
      <c r="U407" s="98"/>
    </row>
    <row r="408" ht="15.75" customHeight="1">
      <c r="E408" s="98"/>
      <c r="F408" s="98"/>
      <c r="G408" s="98"/>
      <c r="H408" s="98"/>
      <c r="I408" s="98"/>
      <c r="J408" s="98"/>
      <c r="K408" s="98"/>
      <c r="L408" s="98"/>
      <c r="M408" s="98"/>
      <c r="N408" s="98"/>
      <c r="O408" s="98"/>
      <c r="P408" s="98"/>
      <c r="Q408" s="98"/>
      <c r="R408" s="98"/>
      <c r="S408" s="98"/>
      <c r="T408" s="98"/>
      <c r="U408" s="98"/>
    </row>
    <row r="409" ht="15.75" customHeight="1">
      <c r="E409" s="98"/>
      <c r="F409" s="98"/>
      <c r="G409" s="98"/>
      <c r="H409" s="98"/>
      <c r="I409" s="98"/>
      <c r="J409" s="98"/>
      <c r="K409" s="98"/>
      <c r="L409" s="98"/>
      <c r="M409" s="98"/>
      <c r="N409" s="98"/>
      <c r="O409" s="98"/>
      <c r="P409" s="98"/>
      <c r="Q409" s="98"/>
      <c r="R409" s="98"/>
      <c r="S409" s="98"/>
      <c r="T409" s="98"/>
      <c r="U409" s="98"/>
    </row>
    <row r="410" ht="15.75" customHeight="1">
      <c r="E410" s="98"/>
      <c r="F410" s="98"/>
      <c r="G410" s="98"/>
      <c r="H410" s="98"/>
      <c r="I410" s="98"/>
      <c r="J410" s="98"/>
      <c r="K410" s="98"/>
      <c r="L410" s="98"/>
      <c r="M410" s="98"/>
      <c r="N410" s="98"/>
      <c r="O410" s="98"/>
      <c r="P410" s="98"/>
      <c r="Q410" s="98"/>
      <c r="R410" s="98"/>
      <c r="S410" s="98"/>
      <c r="T410" s="98"/>
      <c r="U410" s="98"/>
    </row>
    <row r="411" ht="15.75" customHeight="1">
      <c r="E411" s="98"/>
      <c r="F411" s="98"/>
      <c r="G411" s="98"/>
      <c r="H411" s="98"/>
      <c r="I411" s="98"/>
      <c r="J411" s="98"/>
      <c r="K411" s="98"/>
      <c r="L411" s="98"/>
      <c r="M411" s="98"/>
      <c r="N411" s="98"/>
      <c r="O411" s="98"/>
      <c r="P411" s="98"/>
      <c r="Q411" s="98"/>
      <c r="R411" s="98"/>
      <c r="S411" s="98"/>
      <c r="T411" s="98"/>
      <c r="U411" s="98"/>
    </row>
    <row r="412" ht="15.75" customHeight="1">
      <c r="E412" s="98"/>
      <c r="F412" s="98"/>
      <c r="G412" s="98"/>
      <c r="H412" s="98"/>
      <c r="I412" s="98"/>
      <c r="J412" s="98"/>
      <c r="K412" s="98"/>
      <c r="L412" s="98"/>
      <c r="M412" s="98"/>
      <c r="N412" s="98"/>
      <c r="O412" s="98"/>
      <c r="P412" s="98"/>
      <c r="Q412" s="98"/>
      <c r="R412" s="98"/>
      <c r="S412" s="98"/>
      <c r="T412" s="98"/>
      <c r="U412" s="98"/>
    </row>
    <row r="413" ht="15.75" customHeight="1">
      <c r="E413" s="98"/>
      <c r="F413" s="98"/>
      <c r="G413" s="98"/>
      <c r="H413" s="98"/>
      <c r="I413" s="98"/>
      <c r="J413" s="98"/>
      <c r="K413" s="98"/>
      <c r="L413" s="98"/>
      <c r="M413" s="98"/>
      <c r="N413" s="98"/>
      <c r="O413" s="98"/>
      <c r="P413" s="98"/>
      <c r="Q413" s="98"/>
      <c r="R413" s="98"/>
      <c r="S413" s="98"/>
      <c r="T413" s="98"/>
      <c r="U413" s="98"/>
    </row>
    <row r="414" ht="15.75" customHeight="1">
      <c r="E414" s="98"/>
      <c r="F414" s="98"/>
      <c r="G414" s="98"/>
      <c r="H414" s="98"/>
      <c r="I414" s="98"/>
      <c r="J414" s="98"/>
      <c r="K414" s="98"/>
      <c r="L414" s="98"/>
      <c r="M414" s="98"/>
      <c r="N414" s="98"/>
      <c r="O414" s="98"/>
      <c r="P414" s="98"/>
      <c r="Q414" s="98"/>
      <c r="R414" s="98"/>
      <c r="S414" s="98"/>
      <c r="T414" s="98"/>
      <c r="U414" s="98"/>
    </row>
    <row r="415" ht="15.75" customHeight="1">
      <c r="E415" s="98"/>
      <c r="F415" s="98"/>
      <c r="G415" s="98"/>
      <c r="H415" s="98"/>
      <c r="I415" s="98"/>
      <c r="J415" s="98"/>
      <c r="K415" s="98"/>
      <c r="L415" s="98"/>
      <c r="M415" s="98"/>
      <c r="N415" s="98"/>
      <c r="O415" s="98"/>
      <c r="P415" s="98"/>
      <c r="Q415" s="98"/>
      <c r="R415" s="98"/>
      <c r="S415" s="98"/>
      <c r="T415" s="98"/>
      <c r="U415" s="98"/>
    </row>
    <row r="416" ht="15.75" customHeight="1">
      <c r="E416" s="98"/>
      <c r="F416" s="98"/>
      <c r="G416" s="98"/>
      <c r="H416" s="98"/>
      <c r="I416" s="98"/>
      <c r="J416" s="98"/>
      <c r="K416" s="98"/>
      <c r="L416" s="98"/>
      <c r="M416" s="98"/>
      <c r="N416" s="98"/>
      <c r="O416" s="98"/>
      <c r="P416" s="98"/>
      <c r="Q416" s="98"/>
      <c r="R416" s="98"/>
      <c r="S416" s="98"/>
      <c r="T416" s="98"/>
      <c r="U416" s="98"/>
    </row>
    <row r="417" ht="15.75" customHeight="1">
      <c r="E417" s="98"/>
      <c r="F417" s="98"/>
      <c r="G417" s="98"/>
      <c r="H417" s="98"/>
      <c r="I417" s="98"/>
      <c r="J417" s="98"/>
      <c r="K417" s="98"/>
      <c r="L417" s="98"/>
      <c r="M417" s="98"/>
      <c r="N417" s="98"/>
      <c r="O417" s="98"/>
      <c r="P417" s="98"/>
      <c r="Q417" s="98"/>
      <c r="R417" s="98"/>
      <c r="S417" s="98"/>
      <c r="T417" s="98"/>
      <c r="U417" s="98"/>
    </row>
    <row r="418" ht="15.75" customHeight="1">
      <c r="E418" s="98"/>
      <c r="F418" s="98"/>
      <c r="G418" s="98"/>
      <c r="H418" s="98"/>
      <c r="I418" s="98"/>
      <c r="J418" s="98"/>
      <c r="K418" s="98"/>
      <c r="L418" s="98"/>
      <c r="M418" s="98"/>
      <c r="N418" s="98"/>
      <c r="O418" s="98"/>
      <c r="P418" s="98"/>
      <c r="Q418" s="98"/>
      <c r="R418" s="98"/>
      <c r="S418" s="98"/>
      <c r="T418" s="98"/>
      <c r="U418" s="98"/>
    </row>
    <row r="419" ht="15.75" customHeight="1">
      <c r="E419" s="98"/>
      <c r="F419" s="98"/>
      <c r="G419" s="98"/>
      <c r="H419" s="98"/>
      <c r="I419" s="98"/>
      <c r="J419" s="98"/>
      <c r="K419" s="98"/>
      <c r="L419" s="98"/>
      <c r="M419" s="98"/>
      <c r="N419" s="98"/>
      <c r="O419" s="98"/>
      <c r="P419" s="98"/>
      <c r="Q419" s="98"/>
      <c r="R419" s="98"/>
      <c r="S419" s="98"/>
      <c r="T419" s="98"/>
      <c r="U419" s="98"/>
    </row>
    <row r="420" ht="15.75" customHeight="1">
      <c r="E420" s="98"/>
      <c r="F420" s="98"/>
      <c r="G420" s="98"/>
      <c r="H420" s="98"/>
      <c r="I420" s="98"/>
      <c r="J420" s="98"/>
      <c r="K420" s="98"/>
      <c r="L420" s="98"/>
      <c r="M420" s="98"/>
      <c r="N420" s="98"/>
      <c r="O420" s="98"/>
      <c r="P420" s="98"/>
      <c r="Q420" s="98"/>
      <c r="R420" s="98"/>
      <c r="S420" s="98"/>
      <c r="T420" s="98"/>
      <c r="U420" s="98"/>
    </row>
    <row r="421" ht="15.75" customHeight="1">
      <c r="E421" s="98"/>
      <c r="F421" s="98"/>
      <c r="G421" s="98"/>
      <c r="H421" s="98"/>
      <c r="I421" s="98"/>
      <c r="J421" s="98"/>
      <c r="K421" s="98"/>
      <c r="L421" s="98"/>
      <c r="M421" s="98"/>
      <c r="N421" s="98"/>
      <c r="O421" s="98"/>
      <c r="P421" s="98"/>
      <c r="Q421" s="98"/>
      <c r="R421" s="98"/>
      <c r="S421" s="98"/>
      <c r="T421" s="98"/>
      <c r="U421" s="98"/>
    </row>
    <row r="422" ht="15.75" customHeight="1">
      <c r="E422" s="98"/>
      <c r="F422" s="98"/>
      <c r="G422" s="98"/>
      <c r="H422" s="98"/>
      <c r="I422" s="98"/>
      <c r="J422" s="98"/>
      <c r="K422" s="98"/>
      <c r="L422" s="98"/>
      <c r="M422" s="98"/>
      <c r="N422" s="98"/>
      <c r="O422" s="98"/>
      <c r="P422" s="98"/>
      <c r="Q422" s="98"/>
      <c r="R422" s="98"/>
      <c r="S422" s="98"/>
      <c r="T422" s="98"/>
      <c r="U422" s="98"/>
    </row>
    <row r="423" ht="15.75" customHeight="1">
      <c r="E423" s="98"/>
      <c r="F423" s="98"/>
      <c r="G423" s="98"/>
      <c r="H423" s="98"/>
      <c r="I423" s="98"/>
      <c r="J423" s="98"/>
      <c r="K423" s="98"/>
      <c r="L423" s="98"/>
      <c r="M423" s="98"/>
      <c r="N423" s="98"/>
      <c r="O423" s="98"/>
      <c r="P423" s="98"/>
      <c r="Q423" s="98"/>
      <c r="R423" s="98"/>
      <c r="S423" s="98"/>
      <c r="T423" s="98"/>
      <c r="U423" s="98"/>
    </row>
    <row r="424" ht="15.75" customHeight="1">
      <c r="E424" s="98"/>
      <c r="F424" s="98"/>
      <c r="G424" s="98"/>
      <c r="H424" s="98"/>
      <c r="I424" s="98"/>
      <c r="J424" s="98"/>
      <c r="K424" s="98"/>
      <c r="L424" s="98"/>
      <c r="M424" s="98"/>
      <c r="N424" s="98"/>
      <c r="O424" s="98"/>
      <c r="P424" s="98"/>
      <c r="Q424" s="98"/>
      <c r="R424" s="98"/>
      <c r="S424" s="98"/>
      <c r="T424" s="98"/>
      <c r="U424" s="98"/>
    </row>
    <row r="425" ht="15.75" customHeight="1">
      <c r="E425" s="98"/>
      <c r="F425" s="98"/>
      <c r="G425" s="98"/>
      <c r="H425" s="98"/>
      <c r="I425" s="98"/>
      <c r="J425" s="98"/>
      <c r="K425" s="98"/>
      <c r="L425" s="98"/>
      <c r="M425" s="98"/>
      <c r="N425" s="98"/>
      <c r="O425" s="98"/>
      <c r="P425" s="98"/>
      <c r="Q425" s="98"/>
      <c r="R425" s="98"/>
      <c r="S425" s="98"/>
      <c r="T425" s="98"/>
      <c r="U425" s="98"/>
    </row>
    <row r="426" ht="15.75" customHeight="1">
      <c r="E426" s="98"/>
      <c r="F426" s="98"/>
      <c r="G426" s="98"/>
      <c r="H426" s="98"/>
      <c r="I426" s="98"/>
      <c r="J426" s="98"/>
      <c r="K426" s="98"/>
      <c r="L426" s="98"/>
      <c r="M426" s="98"/>
      <c r="N426" s="98"/>
      <c r="O426" s="98"/>
      <c r="P426" s="98"/>
      <c r="Q426" s="98"/>
      <c r="R426" s="98"/>
      <c r="S426" s="98"/>
      <c r="T426" s="98"/>
      <c r="U426" s="98"/>
    </row>
    <row r="427" ht="15.75" customHeight="1">
      <c r="E427" s="98" t="str">
        <f>IFERROR(__xludf.DUMMYFUNCTION("""COMPUTED_VALUE"""),"DOCUMENTACIÓN, CERTIFICACIÓN Y SERVICIO DE MEDICIÓN")</f>
        <v>DOCUMENTACIÓN, CERTIFICACIÓN Y SERVICIO DE MEDICIÓN</v>
      </c>
      <c r="F427" s="98" t="str">
        <f>IFERROR(__xludf.DUMMYFUNCTION("""COMPUTED_VALUE"""),"DOCUMENTACIÓN, CERTIFICACIÓN Y SERVICIO DE MEDICIÓN")</f>
        <v>DOCUMENTACIÓN, CERTIFICACIÓN Y SERVICIO DE MEDICIÓN</v>
      </c>
      <c r="G427" s="98" t="str">
        <f>IFERROR(__xludf.DUMMYFUNCTION("""COMPUTED_VALUE"""),"DOCUMENTACIÓN, CERTIFICACIÓN Y SERVICIO DE MEDICIÓN")</f>
        <v>DOCUMENTACIÓN, CERTIFICACIÓN Y SERVICIO DE MEDICIÓN</v>
      </c>
      <c r="H427" s="98" t="str">
        <f>IFERROR(__xludf.DUMMYFUNCTION("""COMPUTED_VALUE"""),"DOCUMENTACIÓN, CERTIFICACIÓN Y SERVICIO DE MEDICIÓN")</f>
        <v>DOCUMENTACIÓN, CERTIFICACIÓN Y SERVICIO DE MEDICIÓN</v>
      </c>
      <c r="I427" s="98" t="str">
        <f>IFERROR(__xludf.DUMMYFUNCTION("""COMPUTED_VALUE"""),"DOCUMENTACIÓN, CERTIFICACIÓN Y SERVICIO DE MEDICIÓN")</f>
        <v>DOCUMENTACIÓN, CERTIFICACIÓN Y SERVICIO DE MEDICIÓN</v>
      </c>
      <c r="J427" s="98" t="str">
        <f>IFERROR(__xludf.DUMMYFUNCTION("""COMPUTED_VALUE"""),"DOCUMENTACIÓN, CERTIFICACIÓN Y SERVICIO DE MEDICIÓN")</f>
        <v>DOCUMENTACIÓN, CERTIFICACIÓN Y SERVICIO DE MEDICIÓN</v>
      </c>
      <c r="K427" s="98" t="str">
        <f>IFERROR(__xludf.DUMMYFUNCTION("""COMPUTED_VALUE"""),"DOCUMENTACIÓN, CERTIFICACIÓN Y SERVICIO DE MEDICIÓN")</f>
        <v>DOCUMENTACIÓN, CERTIFICACIÓN Y SERVICIO DE MEDICIÓN</v>
      </c>
      <c r="L427" s="98" t="str">
        <f>IFERROR(__xludf.DUMMYFUNCTION("""COMPUTED_VALUE"""),"DOCUMENTACIÓN, CERTIFICACIÓN Y SERVICIO DE MEDICIÓN")</f>
        <v>DOCUMENTACIÓN, CERTIFICACIÓN Y SERVICIO DE MEDICIÓN</v>
      </c>
      <c r="M427" s="98" t="str">
        <f>IFERROR(__xludf.DUMMYFUNCTION("""COMPUTED_VALUE"""),"DOCUMENTACIÓN, CERTIFICACIÓN Y SERVICIO DE MEDICIÓN")</f>
        <v>DOCUMENTACIÓN, CERTIFICACIÓN Y SERVICIO DE MEDICIÓN</v>
      </c>
      <c r="N427" s="98" t="str">
        <f>IFERROR(__xludf.DUMMYFUNCTION("""COMPUTED_VALUE"""),"DOCUMENTACIÓN, CERTIFICACIÓN Y SERVICIO DE MEDICIÓN")</f>
        <v>DOCUMENTACIÓN, CERTIFICACIÓN Y SERVICIO DE MEDICIÓN</v>
      </c>
      <c r="O427" s="98" t="str">
        <f>IFERROR(__xludf.DUMMYFUNCTION("""COMPUTED_VALUE"""),"DOCUMENTACIÓN, CERTIFICACIÓN Y SERVICIO DE MEDICIÓN")</f>
        <v>DOCUMENTACIÓN, CERTIFICACIÓN Y SERVICIO DE MEDICIÓN</v>
      </c>
      <c r="P427" s="98" t="str">
        <f>IFERROR(__xludf.DUMMYFUNCTION("""COMPUTED_VALUE"""),"DOCUMENTACIÓN, CERTIFICACIÓN Y SERVICIO DE MEDICIÓN")</f>
        <v>DOCUMENTACIÓN, CERTIFICACIÓN Y SERVICIO DE MEDICIÓN</v>
      </c>
      <c r="Q427" s="98" t="str">
        <f>IFERROR(__xludf.DUMMYFUNCTION("""COMPUTED_VALUE"""),"DOCUMENTACIÓN, CERTIFICACIÓN Y SERVICIO DE MEDICIÓN")</f>
        <v>DOCUMENTACIÓN, CERTIFICACIÓN Y SERVICIO DE MEDICIÓN</v>
      </c>
      <c r="R427" s="98" t="str">
        <f>IFERROR(__xludf.DUMMYFUNCTION("""COMPUTED_VALUE"""),"DOCUMENTACIÓN, CERTIFICACIÓN Y SERVICIO DE MEDICIÓN")</f>
        <v>DOCUMENTACIÓN, CERTIFICACIÓN Y SERVICIO DE MEDICIÓN</v>
      </c>
      <c r="S427" s="98" t="str">
        <f>IFERROR(__xludf.DUMMYFUNCTION("""COMPUTED_VALUE"""),"DOCUMENTACIÓN, CERTIFICACIÓN Y SERVICIO DE MEDICIÓN")</f>
        <v>DOCUMENTACIÓN, CERTIFICACIÓN Y SERVICIO DE MEDICIÓN</v>
      </c>
      <c r="T427" s="98" t="str">
        <f>IFERROR(__xludf.DUMMYFUNCTION("""COMPUTED_VALUE"""),"DOCUMENTACIÓN, CERTIFICACIÓN Y SERVICIO DE MEDICIÓN")</f>
        <v>DOCUMENTACIÓN, CERTIFICACIÓN Y SERVICIO DE MEDICIÓN</v>
      </c>
      <c r="U427" s="98" t="str">
        <f>IFERROR(__xludf.DUMMYFUNCTION("""COMPUTED_VALUE"""),"DOCUMENTACIÓN, CERTIFICACIÓN Y SERVICIO DE MEDICIÓN")</f>
        <v>DOCUMENTACIÓN, CERTIFICACIÓN Y SERVICIO DE MEDICIÓN</v>
      </c>
    </row>
    <row r="428" ht="15.75" customHeight="1">
      <c r="E428" s="98" t="str">
        <f>IFERROR(__xludf.DUMMYFUNCTION("""COMPUTED_VALUE"""),"ACOMETIDAS Y TABLEROS")</f>
        <v>ACOMETIDAS Y TABLEROS</v>
      </c>
      <c r="F428" s="98" t="str">
        <f>IFERROR(__xludf.DUMMYFUNCTION("""COMPUTED_VALUE"""),"ACOMETIDAS Y TABLEROS")</f>
        <v>ACOMETIDAS Y TABLEROS</v>
      </c>
      <c r="G428" s="98" t="str">
        <f>IFERROR(__xludf.DUMMYFUNCTION("""COMPUTED_VALUE"""),"ACOMETIDAS Y TABLEROS")</f>
        <v>ACOMETIDAS Y TABLEROS</v>
      </c>
      <c r="H428" s="98" t="str">
        <f>IFERROR(__xludf.DUMMYFUNCTION("""COMPUTED_VALUE"""),"ACOMETIDAS Y TABLEROS")</f>
        <v>ACOMETIDAS Y TABLEROS</v>
      </c>
      <c r="I428" s="98" t="str">
        <f>IFERROR(__xludf.DUMMYFUNCTION("""COMPUTED_VALUE"""),"ACOMETIDAS Y TABLEROS")</f>
        <v>ACOMETIDAS Y TABLEROS</v>
      </c>
      <c r="J428" s="98" t="str">
        <f>IFERROR(__xludf.DUMMYFUNCTION("""COMPUTED_VALUE"""),"ACOMETIDAS Y TABLEROS")</f>
        <v>ACOMETIDAS Y TABLEROS</v>
      </c>
      <c r="K428" s="98" t="str">
        <f>IFERROR(__xludf.DUMMYFUNCTION("""COMPUTED_VALUE"""),"ACOMETIDAS Y TABLEROS")</f>
        <v>ACOMETIDAS Y TABLEROS</v>
      </c>
      <c r="L428" s="98" t="str">
        <f>IFERROR(__xludf.DUMMYFUNCTION("""COMPUTED_VALUE"""),"ACOMETIDAS Y TABLEROS")</f>
        <v>ACOMETIDAS Y TABLEROS</v>
      </c>
      <c r="M428" s="98" t="str">
        <f>IFERROR(__xludf.DUMMYFUNCTION("""COMPUTED_VALUE"""),"ACOMETIDAS Y TABLEROS")</f>
        <v>ACOMETIDAS Y TABLEROS</v>
      </c>
      <c r="N428" s="98" t="str">
        <f>IFERROR(__xludf.DUMMYFUNCTION("""COMPUTED_VALUE"""),"ACOMETIDAS Y TABLEROS")</f>
        <v>ACOMETIDAS Y TABLEROS</v>
      </c>
      <c r="O428" s="98" t="str">
        <f>IFERROR(__xludf.DUMMYFUNCTION("""COMPUTED_VALUE"""),"ACOMETIDAS Y TABLEROS")</f>
        <v>ACOMETIDAS Y TABLEROS</v>
      </c>
      <c r="P428" s="98" t="str">
        <f>IFERROR(__xludf.DUMMYFUNCTION("""COMPUTED_VALUE"""),"ACOMETIDAS Y TABLEROS")</f>
        <v>ACOMETIDAS Y TABLEROS</v>
      </c>
      <c r="Q428" s="98" t="str">
        <f>IFERROR(__xludf.DUMMYFUNCTION("""COMPUTED_VALUE"""),"ACOMETIDAS Y TABLEROS")</f>
        <v>ACOMETIDAS Y TABLEROS</v>
      </c>
      <c r="R428" s="98" t="str">
        <f>IFERROR(__xludf.DUMMYFUNCTION("""COMPUTED_VALUE"""),"ACOMETIDAS Y TABLEROS")</f>
        <v>ACOMETIDAS Y TABLEROS</v>
      </c>
      <c r="S428" s="98" t="str">
        <f>IFERROR(__xludf.DUMMYFUNCTION("""COMPUTED_VALUE"""),"ACOMETIDAS Y TABLEROS")</f>
        <v>ACOMETIDAS Y TABLEROS</v>
      </c>
      <c r="T428" s="98" t="str">
        <f>IFERROR(__xludf.DUMMYFUNCTION("""COMPUTED_VALUE"""),"ACOMETIDAS Y TABLEROS")</f>
        <v>ACOMETIDAS Y TABLEROS</v>
      </c>
      <c r="U428" s="98" t="str">
        <f>IFERROR(__xludf.DUMMYFUNCTION("""COMPUTED_VALUE"""),"ACOMETIDAS Y TABLEROS")</f>
        <v>ACOMETIDAS Y TABLEROS</v>
      </c>
    </row>
    <row r="429" ht="15.75" customHeight="1">
      <c r="E429" s="98" t="str">
        <f>IFERROR(__xludf.DUMMYFUNCTION("""COMPUTED_VALUE"""),"CANALIZACIÓN EMBUTIDA")</f>
        <v>CANALIZACIÓN EMBUTIDA</v>
      </c>
      <c r="F429" s="98" t="str">
        <f>IFERROR(__xludf.DUMMYFUNCTION("""COMPUTED_VALUE"""),"CANALIZACIÓN EMBUTIDA")</f>
        <v>CANALIZACIÓN EMBUTIDA</v>
      </c>
      <c r="G429" s="98" t="str">
        <f>IFERROR(__xludf.DUMMYFUNCTION("""COMPUTED_VALUE"""),"CANALIZACIÓN EMBUTIDA")</f>
        <v>CANALIZACIÓN EMBUTIDA</v>
      </c>
      <c r="H429" s="98" t="str">
        <f>IFERROR(__xludf.DUMMYFUNCTION("""COMPUTED_VALUE"""),"CANALIZACIÓN EMBUTIDA")</f>
        <v>CANALIZACIÓN EMBUTIDA</v>
      </c>
      <c r="I429" s="98" t="str">
        <f>IFERROR(__xludf.DUMMYFUNCTION("""COMPUTED_VALUE"""),"CANALIZACIÓN EMBUTIDA")</f>
        <v>CANALIZACIÓN EMBUTIDA</v>
      </c>
      <c r="J429" s="98" t="str">
        <f>IFERROR(__xludf.DUMMYFUNCTION("""COMPUTED_VALUE"""),"CANALIZACIÓN EMBUTIDA")</f>
        <v>CANALIZACIÓN EMBUTIDA</v>
      </c>
      <c r="K429" s="98" t="str">
        <f>IFERROR(__xludf.DUMMYFUNCTION("""COMPUTED_VALUE"""),"CANALIZACIÓN EMBUTIDA")</f>
        <v>CANALIZACIÓN EMBUTIDA</v>
      </c>
      <c r="L429" s="98" t="str">
        <f>IFERROR(__xludf.DUMMYFUNCTION("""COMPUTED_VALUE"""),"CANALIZACIÓN EMBUTIDA")</f>
        <v>CANALIZACIÓN EMBUTIDA</v>
      </c>
      <c r="M429" s="98" t="str">
        <f>IFERROR(__xludf.DUMMYFUNCTION("""COMPUTED_VALUE"""),"CANALIZACIÓN EMBUTIDA")</f>
        <v>CANALIZACIÓN EMBUTIDA</v>
      </c>
      <c r="N429" s="98" t="str">
        <f>IFERROR(__xludf.DUMMYFUNCTION("""COMPUTED_VALUE"""),"CANALIZACIÓN EMBUTIDA")</f>
        <v>CANALIZACIÓN EMBUTIDA</v>
      </c>
      <c r="O429" s="98" t="str">
        <f>IFERROR(__xludf.DUMMYFUNCTION("""COMPUTED_VALUE"""),"CANALIZACIÓN EMBUTIDA")</f>
        <v>CANALIZACIÓN EMBUTIDA</v>
      </c>
      <c r="P429" s="98" t="str">
        <f>IFERROR(__xludf.DUMMYFUNCTION("""COMPUTED_VALUE"""),"CANALIZACIÓN EMBUTIDA")</f>
        <v>CANALIZACIÓN EMBUTIDA</v>
      </c>
      <c r="Q429" s="98" t="str">
        <f>IFERROR(__xludf.DUMMYFUNCTION("""COMPUTED_VALUE"""),"CANALIZACIÓN EMBUTIDA")</f>
        <v>CANALIZACIÓN EMBUTIDA</v>
      </c>
      <c r="R429" s="98" t="str">
        <f>IFERROR(__xludf.DUMMYFUNCTION("""COMPUTED_VALUE"""),"CANALIZACIÓN EMBUTIDA")</f>
        <v>CANALIZACIÓN EMBUTIDA</v>
      </c>
      <c r="S429" s="98" t="str">
        <f>IFERROR(__xludf.DUMMYFUNCTION("""COMPUTED_VALUE"""),"CANALIZACIÓN EMBUTIDA")</f>
        <v>CANALIZACIÓN EMBUTIDA</v>
      </c>
      <c r="T429" s="98" t="str">
        <f>IFERROR(__xludf.DUMMYFUNCTION("""COMPUTED_VALUE"""),"CANALIZACIÓN EMBUTIDA")</f>
        <v>CANALIZACIÓN EMBUTIDA</v>
      </c>
      <c r="U429" s="98" t="str">
        <f>IFERROR(__xludf.DUMMYFUNCTION("""COMPUTED_VALUE"""),"CANALIZACIÓN EMBUTIDA")</f>
        <v>CANALIZACIÓN EMBUTIDA</v>
      </c>
    </row>
    <row r="430" ht="15.75" customHeight="1">
      <c r="E430" s="98" t="str">
        <f>IFERROR(__xludf.DUMMYFUNCTION("""COMPUTED_VALUE"""),"CANALIZACIÓN EMBUTIDA EN DURLOCK")</f>
        <v>CANALIZACIÓN EMBUTIDA EN DURLOCK</v>
      </c>
      <c r="F430" s="98" t="str">
        <f>IFERROR(__xludf.DUMMYFUNCTION("""COMPUTED_VALUE"""),"CANALIZACIÓN EMBUTIDA EN DURLOCK")</f>
        <v>CANALIZACIÓN EMBUTIDA EN DURLOCK</v>
      </c>
      <c r="G430" s="98" t="str">
        <f>IFERROR(__xludf.DUMMYFUNCTION("""COMPUTED_VALUE"""),"CANALIZACIÓN EMBUTIDA EN DURLOCK")</f>
        <v>CANALIZACIÓN EMBUTIDA EN DURLOCK</v>
      </c>
      <c r="H430" s="98" t="str">
        <f>IFERROR(__xludf.DUMMYFUNCTION("""COMPUTED_VALUE"""),"CANALIZACIÓN EMBUTIDA EN DURLOCK")</f>
        <v>CANALIZACIÓN EMBUTIDA EN DURLOCK</v>
      </c>
      <c r="I430" s="98" t="str">
        <f>IFERROR(__xludf.DUMMYFUNCTION("""COMPUTED_VALUE"""),"CANALIZACIÓN EMBUTIDA EN DURLOCK")</f>
        <v>CANALIZACIÓN EMBUTIDA EN DURLOCK</v>
      </c>
      <c r="J430" s="98" t="str">
        <f>IFERROR(__xludf.DUMMYFUNCTION("""COMPUTED_VALUE"""),"CANALIZACIÓN EMBUTIDA EN DURLOCK")</f>
        <v>CANALIZACIÓN EMBUTIDA EN DURLOCK</v>
      </c>
      <c r="K430" s="98" t="str">
        <f>IFERROR(__xludf.DUMMYFUNCTION("""COMPUTED_VALUE"""),"CANALIZACIÓN EMBUTIDA EN DURLOCK")</f>
        <v>CANALIZACIÓN EMBUTIDA EN DURLOCK</v>
      </c>
      <c r="L430" s="98" t="str">
        <f>IFERROR(__xludf.DUMMYFUNCTION("""COMPUTED_VALUE"""),"CANALIZACIÓN EMBUTIDA EN DURLOCK")</f>
        <v>CANALIZACIÓN EMBUTIDA EN DURLOCK</v>
      </c>
      <c r="M430" s="98" t="str">
        <f>IFERROR(__xludf.DUMMYFUNCTION("""COMPUTED_VALUE"""),"CANALIZACIÓN EMBUTIDA EN DURLOCK")</f>
        <v>CANALIZACIÓN EMBUTIDA EN DURLOCK</v>
      </c>
      <c r="N430" s="98" t="str">
        <f>IFERROR(__xludf.DUMMYFUNCTION("""COMPUTED_VALUE"""),"CANALIZACIÓN EMBUTIDA EN DURLOCK")</f>
        <v>CANALIZACIÓN EMBUTIDA EN DURLOCK</v>
      </c>
      <c r="O430" s="98" t="str">
        <f>IFERROR(__xludf.DUMMYFUNCTION("""COMPUTED_VALUE"""),"CANALIZACIÓN EMBUTIDA EN DURLOCK")</f>
        <v>CANALIZACIÓN EMBUTIDA EN DURLOCK</v>
      </c>
      <c r="P430" s="98" t="str">
        <f>IFERROR(__xludf.DUMMYFUNCTION("""COMPUTED_VALUE"""),"CANALIZACIÓN EMBUTIDA EN DURLOCK")</f>
        <v>CANALIZACIÓN EMBUTIDA EN DURLOCK</v>
      </c>
      <c r="Q430" s="98" t="str">
        <f>IFERROR(__xludf.DUMMYFUNCTION("""COMPUTED_VALUE"""),"CANALIZACIÓN EMBUTIDA EN DURLOCK")</f>
        <v>CANALIZACIÓN EMBUTIDA EN DURLOCK</v>
      </c>
      <c r="R430" s="98" t="str">
        <f>IFERROR(__xludf.DUMMYFUNCTION("""COMPUTED_VALUE"""),"CANALIZACIÓN EMBUTIDA EN DURLOCK")</f>
        <v>CANALIZACIÓN EMBUTIDA EN DURLOCK</v>
      </c>
      <c r="S430" s="98" t="str">
        <f>IFERROR(__xludf.DUMMYFUNCTION("""COMPUTED_VALUE"""),"CANALIZACIÓN EMBUTIDA EN DURLOCK")</f>
        <v>CANALIZACIÓN EMBUTIDA EN DURLOCK</v>
      </c>
      <c r="T430" s="98" t="str">
        <f>IFERROR(__xludf.DUMMYFUNCTION("""COMPUTED_VALUE"""),"CANALIZACIÓN EMBUTIDA EN DURLOCK")</f>
        <v>CANALIZACIÓN EMBUTIDA EN DURLOCK</v>
      </c>
      <c r="U430" s="98" t="str">
        <f>IFERROR(__xludf.DUMMYFUNCTION("""COMPUTED_VALUE"""),"CANALIZACIÓN EMBUTIDA EN DURLOCK")</f>
        <v>CANALIZACIÓN EMBUTIDA EN DURLOCK</v>
      </c>
    </row>
    <row r="431" ht="15.75" customHeight="1">
      <c r="E431" s="98" t="str">
        <f>IFERROR(__xludf.DUMMYFUNCTION("""COMPUTED_VALUE"""),"CANALIZACIÓN EXTERIOR ")</f>
        <v>CANALIZACIÓN EXTERIOR </v>
      </c>
      <c r="F431" s="98" t="str">
        <f>IFERROR(__xludf.DUMMYFUNCTION("""COMPUTED_VALUE"""),"CANALIZACIÓN EXTERIOR ")</f>
        <v>CANALIZACIÓN EXTERIOR </v>
      </c>
      <c r="G431" s="98" t="str">
        <f>IFERROR(__xludf.DUMMYFUNCTION("""COMPUTED_VALUE"""),"CANALIZACIÓN EXTERIOR ")</f>
        <v>CANALIZACIÓN EXTERIOR </v>
      </c>
      <c r="H431" s="98" t="str">
        <f>IFERROR(__xludf.DUMMYFUNCTION("""COMPUTED_VALUE"""),"CANALIZACIÓN EXTERIOR ")</f>
        <v>CANALIZACIÓN EXTERIOR </v>
      </c>
      <c r="I431" s="98" t="str">
        <f>IFERROR(__xludf.DUMMYFUNCTION("""COMPUTED_VALUE"""),"CANALIZACIÓN EXTERIOR ")</f>
        <v>CANALIZACIÓN EXTERIOR </v>
      </c>
      <c r="J431" s="98" t="str">
        <f>IFERROR(__xludf.DUMMYFUNCTION("""COMPUTED_VALUE"""),"CANALIZACIÓN EXTERIOR ")</f>
        <v>CANALIZACIÓN EXTERIOR </v>
      </c>
      <c r="K431" s="98" t="str">
        <f>IFERROR(__xludf.DUMMYFUNCTION("""COMPUTED_VALUE"""),"CANALIZACIÓN EXTERIOR ")</f>
        <v>CANALIZACIÓN EXTERIOR </v>
      </c>
      <c r="L431" s="98" t="str">
        <f>IFERROR(__xludf.DUMMYFUNCTION("""COMPUTED_VALUE"""),"CANALIZACIÓN EXTERIOR ")</f>
        <v>CANALIZACIÓN EXTERIOR </v>
      </c>
      <c r="M431" s="98" t="str">
        <f>IFERROR(__xludf.DUMMYFUNCTION("""COMPUTED_VALUE"""),"CANALIZACIÓN EXTERIOR ")</f>
        <v>CANALIZACIÓN EXTERIOR </v>
      </c>
      <c r="N431" s="98" t="str">
        <f>IFERROR(__xludf.DUMMYFUNCTION("""COMPUTED_VALUE"""),"CANALIZACIÓN EXTERIOR ")</f>
        <v>CANALIZACIÓN EXTERIOR </v>
      </c>
      <c r="O431" s="98" t="str">
        <f>IFERROR(__xludf.DUMMYFUNCTION("""COMPUTED_VALUE"""),"CANALIZACIÓN EXTERIOR ")</f>
        <v>CANALIZACIÓN EXTERIOR </v>
      </c>
      <c r="P431" s="98" t="str">
        <f>IFERROR(__xludf.DUMMYFUNCTION("""COMPUTED_VALUE"""),"CANALIZACIÓN EXTERIOR ")</f>
        <v>CANALIZACIÓN EXTERIOR </v>
      </c>
      <c r="Q431" s="98" t="str">
        <f>IFERROR(__xludf.DUMMYFUNCTION("""COMPUTED_VALUE"""),"CANALIZACIÓN EXTERIOR ")</f>
        <v>CANALIZACIÓN EXTERIOR </v>
      </c>
      <c r="R431" s="98" t="str">
        <f>IFERROR(__xludf.DUMMYFUNCTION("""COMPUTED_VALUE"""),"CANALIZACIÓN EXTERIOR ")</f>
        <v>CANALIZACIÓN EXTERIOR </v>
      </c>
      <c r="S431" s="98" t="str">
        <f>IFERROR(__xludf.DUMMYFUNCTION("""COMPUTED_VALUE"""),"CANALIZACIÓN EXTERIOR ")</f>
        <v>CANALIZACIÓN EXTERIOR </v>
      </c>
      <c r="T431" s="98" t="str">
        <f>IFERROR(__xludf.DUMMYFUNCTION("""COMPUTED_VALUE"""),"CANALIZACIÓN EXTERIOR ")</f>
        <v>CANALIZACIÓN EXTERIOR </v>
      </c>
      <c r="U431" s="98" t="str">
        <f>IFERROR(__xludf.DUMMYFUNCTION("""COMPUTED_VALUE"""),"CANALIZACIÓN EXTERIOR ")</f>
        <v>CANALIZACIÓN EXTERIOR </v>
      </c>
    </row>
    <row r="432" ht="15.75" customHeight="1">
      <c r="E432" s="98" t="str">
        <f>IFERROR(__xludf.DUMMYFUNCTION("""COMPUTED_VALUE"""),"CANALIZACIÓN DE CABLE CANAL")</f>
        <v>CANALIZACIÓN DE CABLE CANAL</v>
      </c>
      <c r="F432" s="98" t="str">
        <f>IFERROR(__xludf.DUMMYFUNCTION("""COMPUTED_VALUE"""),"CANALIZACIÓN DE CABLE CANAL")</f>
        <v>CANALIZACIÓN DE CABLE CANAL</v>
      </c>
      <c r="G432" s="98" t="str">
        <f>IFERROR(__xludf.DUMMYFUNCTION("""COMPUTED_VALUE"""),"CANALIZACIÓN DE CABLE CANAL")</f>
        <v>CANALIZACIÓN DE CABLE CANAL</v>
      </c>
      <c r="H432" s="98" t="str">
        <f>IFERROR(__xludf.DUMMYFUNCTION("""COMPUTED_VALUE"""),"CANALIZACIÓN DE CABLE CANAL")</f>
        <v>CANALIZACIÓN DE CABLE CANAL</v>
      </c>
      <c r="I432" s="98" t="str">
        <f>IFERROR(__xludf.DUMMYFUNCTION("""COMPUTED_VALUE"""),"CANALIZACIÓN DE CABLE CANAL")</f>
        <v>CANALIZACIÓN DE CABLE CANAL</v>
      </c>
      <c r="J432" s="98" t="str">
        <f>IFERROR(__xludf.DUMMYFUNCTION("""COMPUTED_VALUE"""),"CANALIZACIÓN DE CABLE CANAL")</f>
        <v>CANALIZACIÓN DE CABLE CANAL</v>
      </c>
      <c r="K432" s="98" t="str">
        <f>IFERROR(__xludf.DUMMYFUNCTION("""COMPUTED_VALUE"""),"CANALIZACIÓN DE CABLE CANAL")</f>
        <v>CANALIZACIÓN DE CABLE CANAL</v>
      </c>
      <c r="L432" s="98" t="str">
        <f>IFERROR(__xludf.DUMMYFUNCTION("""COMPUTED_VALUE"""),"CANALIZACIÓN DE CABLE CANAL")</f>
        <v>CANALIZACIÓN DE CABLE CANAL</v>
      </c>
      <c r="M432" s="98" t="str">
        <f>IFERROR(__xludf.DUMMYFUNCTION("""COMPUTED_VALUE"""),"CANALIZACIÓN DE CABLE CANAL")</f>
        <v>CANALIZACIÓN DE CABLE CANAL</v>
      </c>
      <c r="N432" s="98" t="str">
        <f>IFERROR(__xludf.DUMMYFUNCTION("""COMPUTED_VALUE"""),"CANALIZACIÓN DE CABLE CANAL")</f>
        <v>CANALIZACIÓN DE CABLE CANAL</v>
      </c>
      <c r="O432" s="98" t="str">
        <f>IFERROR(__xludf.DUMMYFUNCTION("""COMPUTED_VALUE"""),"CANALIZACIÓN DE CABLE CANAL")</f>
        <v>CANALIZACIÓN DE CABLE CANAL</v>
      </c>
      <c r="P432" s="98" t="str">
        <f>IFERROR(__xludf.DUMMYFUNCTION("""COMPUTED_VALUE"""),"CANALIZACIÓN DE CABLE CANAL")</f>
        <v>CANALIZACIÓN DE CABLE CANAL</v>
      </c>
      <c r="Q432" s="98" t="str">
        <f>IFERROR(__xludf.DUMMYFUNCTION("""COMPUTED_VALUE"""),"CANALIZACIÓN DE CABLE CANAL")</f>
        <v>CANALIZACIÓN DE CABLE CANAL</v>
      </c>
      <c r="R432" s="98" t="str">
        <f>IFERROR(__xludf.DUMMYFUNCTION("""COMPUTED_VALUE"""),"CANALIZACIÓN DE CABLE CANAL")</f>
        <v>CANALIZACIÓN DE CABLE CANAL</v>
      </c>
      <c r="S432" s="98" t="str">
        <f>IFERROR(__xludf.DUMMYFUNCTION("""COMPUTED_VALUE"""),"CANALIZACIÓN DE CABLE CANAL")</f>
        <v>CANALIZACIÓN DE CABLE CANAL</v>
      </c>
      <c r="T432" s="98" t="str">
        <f>IFERROR(__xludf.DUMMYFUNCTION("""COMPUTED_VALUE"""),"CANALIZACIÓN DE CABLE CANAL")</f>
        <v>CANALIZACIÓN DE CABLE CANAL</v>
      </c>
      <c r="U432" s="98" t="str">
        <f>IFERROR(__xludf.DUMMYFUNCTION("""COMPUTED_VALUE"""),"CANALIZACIÓN DE CABLE CANAL")</f>
        <v>CANALIZACIÓN DE CABLE CANAL</v>
      </c>
    </row>
    <row r="433" ht="15.75" customHeight="1">
      <c r="E433" s="98" t="str">
        <f>IFERROR(__xludf.DUMMYFUNCTION("""COMPUTED_VALUE"""),"CANALIZACIÓN Y CABLEADO CON PISO DUCTOS / POLIDUCTOS ")</f>
        <v>CANALIZACIÓN Y CABLEADO CON PISO DUCTOS / POLIDUCTOS </v>
      </c>
      <c r="F433" s="98" t="str">
        <f>IFERROR(__xludf.DUMMYFUNCTION("""COMPUTED_VALUE"""),"CANALIZACIÓN Y CABLEADO CON PISO DUCTOS / POLIDUCTOS ")</f>
        <v>CANALIZACIÓN Y CABLEADO CON PISO DUCTOS / POLIDUCTOS </v>
      </c>
      <c r="G433" s="98" t="str">
        <f>IFERROR(__xludf.DUMMYFUNCTION("""COMPUTED_VALUE"""),"CANALIZACIÓN Y CABLEADO CON PISO DUCTOS / POLIDUCTOS ")</f>
        <v>CANALIZACIÓN Y CABLEADO CON PISO DUCTOS / POLIDUCTOS </v>
      </c>
      <c r="H433" s="98" t="str">
        <f>IFERROR(__xludf.DUMMYFUNCTION("""COMPUTED_VALUE"""),"CANALIZACIÓN Y CABLEADO CON PISO DUCTOS / POLIDUCTOS ")</f>
        <v>CANALIZACIÓN Y CABLEADO CON PISO DUCTOS / POLIDUCTOS </v>
      </c>
      <c r="I433" s="98" t="str">
        <f>IFERROR(__xludf.DUMMYFUNCTION("""COMPUTED_VALUE"""),"CANALIZACIÓN Y CABLEADO CON PISO DUCTOS / POLIDUCTOS ")</f>
        <v>CANALIZACIÓN Y CABLEADO CON PISO DUCTOS / POLIDUCTOS </v>
      </c>
      <c r="J433" s="98" t="str">
        <f>IFERROR(__xludf.DUMMYFUNCTION("""COMPUTED_VALUE"""),"CANALIZACIÓN Y CABLEADO CON PISO DUCTOS / POLIDUCTOS ")</f>
        <v>CANALIZACIÓN Y CABLEADO CON PISO DUCTOS / POLIDUCTOS </v>
      </c>
      <c r="K433" s="98" t="str">
        <f>IFERROR(__xludf.DUMMYFUNCTION("""COMPUTED_VALUE"""),"CANALIZACIÓN Y CABLEADO CON PISO DUCTOS / POLIDUCTOS ")</f>
        <v>CANALIZACIÓN Y CABLEADO CON PISO DUCTOS / POLIDUCTOS </v>
      </c>
      <c r="L433" s="98" t="str">
        <f>IFERROR(__xludf.DUMMYFUNCTION("""COMPUTED_VALUE"""),"CANALIZACIÓN Y CABLEADO CON PISO DUCTOS / POLIDUCTOS ")</f>
        <v>CANALIZACIÓN Y CABLEADO CON PISO DUCTOS / POLIDUCTOS </v>
      </c>
      <c r="M433" s="98" t="str">
        <f>IFERROR(__xludf.DUMMYFUNCTION("""COMPUTED_VALUE"""),"CANALIZACIÓN Y CABLEADO CON PISO DUCTOS / POLIDUCTOS ")</f>
        <v>CANALIZACIÓN Y CABLEADO CON PISO DUCTOS / POLIDUCTOS </v>
      </c>
      <c r="N433" s="98" t="str">
        <f>IFERROR(__xludf.DUMMYFUNCTION("""COMPUTED_VALUE"""),"CANALIZACIÓN Y CABLEADO CON PISO DUCTOS / POLIDUCTOS ")</f>
        <v>CANALIZACIÓN Y CABLEADO CON PISO DUCTOS / POLIDUCTOS </v>
      </c>
      <c r="O433" s="98" t="str">
        <f>IFERROR(__xludf.DUMMYFUNCTION("""COMPUTED_VALUE"""),"CANALIZACIÓN Y CABLEADO CON PISO DUCTOS / POLIDUCTOS ")</f>
        <v>CANALIZACIÓN Y CABLEADO CON PISO DUCTOS / POLIDUCTOS </v>
      </c>
      <c r="P433" s="98" t="str">
        <f>IFERROR(__xludf.DUMMYFUNCTION("""COMPUTED_VALUE"""),"CANALIZACIÓN Y CABLEADO CON PISO DUCTOS / POLIDUCTOS ")</f>
        <v>CANALIZACIÓN Y CABLEADO CON PISO DUCTOS / POLIDUCTOS </v>
      </c>
      <c r="Q433" s="98" t="str">
        <f>IFERROR(__xludf.DUMMYFUNCTION("""COMPUTED_VALUE"""),"CANALIZACIÓN Y CABLEADO CON PISO DUCTOS / POLIDUCTOS ")</f>
        <v>CANALIZACIÓN Y CABLEADO CON PISO DUCTOS / POLIDUCTOS </v>
      </c>
      <c r="R433" s="98" t="str">
        <f>IFERROR(__xludf.DUMMYFUNCTION("""COMPUTED_VALUE"""),"CANALIZACIÓN Y CABLEADO CON PISO DUCTOS / POLIDUCTOS ")</f>
        <v>CANALIZACIÓN Y CABLEADO CON PISO DUCTOS / POLIDUCTOS </v>
      </c>
      <c r="S433" s="98" t="str">
        <f>IFERROR(__xludf.DUMMYFUNCTION("""COMPUTED_VALUE"""),"CANALIZACIÓN Y CABLEADO CON PISO DUCTOS / POLIDUCTOS ")</f>
        <v>CANALIZACIÓN Y CABLEADO CON PISO DUCTOS / POLIDUCTOS </v>
      </c>
      <c r="T433" s="98" t="str">
        <f>IFERROR(__xludf.DUMMYFUNCTION("""COMPUTED_VALUE"""),"CANALIZACIÓN Y CABLEADO CON PISO DUCTOS / POLIDUCTOS ")</f>
        <v>CANALIZACIÓN Y CABLEADO CON PISO DUCTOS / POLIDUCTOS </v>
      </c>
      <c r="U433" s="98" t="str">
        <f>IFERROR(__xludf.DUMMYFUNCTION("""COMPUTED_VALUE"""),"CANALIZACIÓN Y CABLEADO CON PISO DUCTOS / POLIDUCTOS ")</f>
        <v>CANALIZACIÓN Y CABLEADO CON PISO DUCTOS / POLIDUCTOS </v>
      </c>
    </row>
    <row r="434" ht="15.75" customHeight="1">
      <c r="E434" s="98" t="str">
        <f>IFERROR(__xludf.DUMMYFUNCTION("""COMPUTED_VALUE"""),"CANALIZACIÓN CON BANDEJAS PORTA CABLES Y PERFIL C")</f>
        <v>CANALIZACIÓN CON BANDEJAS PORTA CABLES Y PERFIL C</v>
      </c>
      <c r="F434" s="98" t="str">
        <f>IFERROR(__xludf.DUMMYFUNCTION("""COMPUTED_VALUE"""),"CANALIZACIÓN CON BANDEJAS PORTA CABLES Y PERFIL C")</f>
        <v>CANALIZACIÓN CON BANDEJAS PORTA CABLES Y PERFIL C</v>
      </c>
      <c r="G434" s="98" t="str">
        <f>IFERROR(__xludf.DUMMYFUNCTION("""COMPUTED_VALUE"""),"CANALIZACIÓN CON BANDEJAS PORTA CABLES Y PERFIL C")</f>
        <v>CANALIZACIÓN CON BANDEJAS PORTA CABLES Y PERFIL C</v>
      </c>
      <c r="H434" s="98" t="str">
        <f>IFERROR(__xludf.DUMMYFUNCTION("""COMPUTED_VALUE"""),"CANALIZACIÓN CON BANDEJAS PORTA CABLES Y PERFIL C")</f>
        <v>CANALIZACIÓN CON BANDEJAS PORTA CABLES Y PERFIL C</v>
      </c>
      <c r="I434" s="98" t="str">
        <f>IFERROR(__xludf.DUMMYFUNCTION("""COMPUTED_VALUE"""),"CANALIZACIÓN CON BANDEJAS PORTA CABLES Y PERFIL C")</f>
        <v>CANALIZACIÓN CON BANDEJAS PORTA CABLES Y PERFIL C</v>
      </c>
      <c r="J434" s="98" t="str">
        <f>IFERROR(__xludf.DUMMYFUNCTION("""COMPUTED_VALUE"""),"CANALIZACIÓN CON BANDEJAS PORTA CABLES Y PERFIL C")</f>
        <v>CANALIZACIÓN CON BANDEJAS PORTA CABLES Y PERFIL C</v>
      </c>
      <c r="K434" s="98" t="str">
        <f>IFERROR(__xludf.DUMMYFUNCTION("""COMPUTED_VALUE"""),"CANALIZACIÓN CON BANDEJAS PORTA CABLES Y PERFIL C")</f>
        <v>CANALIZACIÓN CON BANDEJAS PORTA CABLES Y PERFIL C</v>
      </c>
      <c r="L434" s="98" t="str">
        <f>IFERROR(__xludf.DUMMYFUNCTION("""COMPUTED_VALUE"""),"CANALIZACIÓN CON BANDEJAS PORTA CABLES Y PERFIL C")</f>
        <v>CANALIZACIÓN CON BANDEJAS PORTA CABLES Y PERFIL C</v>
      </c>
      <c r="M434" s="98" t="str">
        <f>IFERROR(__xludf.DUMMYFUNCTION("""COMPUTED_VALUE"""),"CANALIZACIÓN CON BANDEJAS PORTA CABLES Y PERFIL C")</f>
        <v>CANALIZACIÓN CON BANDEJAS PORTA CABLES Y PERFIL C</v>
      </c>
      <c r="N434" s="98" t="str">
        <f>IFERROR(__xludf.DUMMYFUNCTION("""COMPUTED_VALUE"""),"CANALIZACIÓN CON BANDEJAS PORTA CABLES Y PERFIL C")</f>
        <v>CANALIZACIÓN CON BANDEJAS PORTA CABLES Y PERFIL C</v>
      </c>
      <c r="O434" s="98" t="str">
        <f>IFERROR(__xludf.DUMMYFUNCTION("""COMPUTED_VALUE"""),"CANALIZACIÓN CON BANDEJAS PORTA CABLES Y PERFIL C")</f>
        <v>CANALIZACIÓN CON BANDEJAS PORTA CABLES Y PERFIL C</v>
      </c>
      <c r="P434" s="98" t="str">
        <f>IFERROR(__xludf.DUMMYFUNCTION("""COMPUTED_VALUE"""),"CANALIZACIÓN CON BANDEJAS PORTA CABLES Y PERFIL C")</f>
        <v>CANALIZACIÓN CON BANDEJAS PORTA CABLES Y PERFIL C</v>
      </c>
      <c r="Q434" s="98" t="str">
        <f>IFERROR(__xludf.DUMMYFUNCTION("""COMPUTED_VALUE"""),"CANALIZACIÓN CON BANDEJAS PORTA CABLES Y PERFIL C")</f>
        <v>CANALIZACIÓN CON BANDEJAS PORTA CABLES Y PERFIL C</v>
      </c>
      <c r="R434" s="98" t="str">
        <f>IFERROR(__xludf.DUMMYFUNCTION("""COMPUTED_VALUE"""),"CANALIZACIÓN CON BANDEJAS PORTA CABLES Y PERFIL C")</f>
        <v>CANALIZACIÓN CON BANDEJAS PORTA CABLES Y PERFIL C</v>
      </c>
      <c r="S434" s="98" t="str">
        <f>IFERROR(__xludf.DUMMYFUNCTION("""COMPUTED_VALUE"""),"CANALIZACIÓN CON BANDEJAS PORTA CABLES Y PERFIL C")</f>
        <v>CANALIZACIÓN CON BANDEJAS PORTA CABLES Y PERFIL C</v>
      </c>
      <c r="T434" s="98" t="str">
        <f>IFERROR(__xludf.DUMMYFUNCTION("""COMPUTED_VALUE"""),"CANALIZACIÓN CON BANDEJAS PORTA CABLES Y PERFIL C")</f>
        <v>CANALIZACIÓN CON BANDEJAS PORTA CABLES Y PERFIL C</v>
      </c>
      <c r="U434" s="98" t="str">
        <f>IFERROR(__xludf.DUMMYFUNCTION("""COMPUTED_VALUE"""),"CANALIZACIÓN CON BANDEJAS PORTA CABLES Y PERFIL C")</f>
        <v>CANALIZACIÓN CON BANDEJAS PORTA CABLES Y PERFIL C</v>
      </c>
    </row>
    <row r="435" ht="15.75" customHeight="1">
      <c r="E435" s="98" t="str">
        <f>IFERROR(__xludf.DUMMYFUNCTION("""COMPUTED_VALUE"""),"CABLEADOS EN CAÑERÍAS ")</f>
        <v>CABLEADOS EN CAÑERÍAS </v>
      </c>
      <c r="F435" s="98" t="str">
        <f>IFERROR(__xludf.DUMMYFUNCTION("""COMPUTED_VALUE"""),"CABLEADOS EN CAÑERÍAS ")</f>
        <v>CABLEADOS EN CAÑERÍAS </v>
      </c>
      <c r="G435" s="98" t="str">
        <f>IFERROR(__xludf.DUMMYFUNCTION("""COMPUTED_VALUE"""),"CABLEADOS EN CAÑERÍAS ")</f>
        <v>CABLEADOS EN CAÑERÍAS </v>
      </c>
      <c r="H435" s="98" t="str">
        <f>IFERROR(__xludf.DUMMYFUNCTION("""COMPUTED_VALUE"""),"CABLEADOS EN CAÑERÍAS ")</f>
        <v>CABLEADOS EN CAÑERÍAS </v>
      </c>
      <c r="I435" s="98" t="str">
        <f>IFERROR(__xludf.DUMMYFUNCTION("""COMPUTED_VALUE"""),"CABLEADOS EN CAÑERÍAS ")</f>
        <v>CABLEADOS EN CAÑERÍAS </v>
      </c>
      <c r="J435" s="98" t="str">
        <f>IFERROR(__xludf.DUMMYFUNCTION("""COMPUTED_VALUE"""),"CABLEADOS EN CAÑERÍAS ")</f>
        <v>CABLEADOS EN CAÑERÍAS </v>
      </c>
      <c r="K435" s="98" t="str">
        <f>IFERROR(__xludf.DUMMYFUNCTION("""COMPUTED_VALUE"""),"CABLEADOS EN CAÑERÍAS ")</f>
        <v>CABLEADOS EN CAÑERÍAS </v>
      </c>
      <c r="L435" s="98" t="str">
        <f>IFERROR(__xludf.DUMMYFUNCTION("""COMPUTED_VALUE"""),"CABLEADOS EN CAÑERÍAS ")</f>
        <v>CABLEADOS EN CAÑERÍAS </v>
      </c>
      <c r="M435" s="98" t="str">
        <f>IFERROR(__xludf.DUMMYFUNCTION("""COMPUTED_VALUE"""),"CABLEADOS EN CAÑERÍAS ")</f>
        <v>CABLEADOS EN CAÑERÍAS </v>
      </c>
      <c r="N435" s="98" t="str">
        <f>IFERROR(__xludf.DUMMYFUNCTION("""COMPUTED_VALUE"""),"CABLEADOS EN CAÑERÍAS ")</f>
        <v>CABLEADOS EN CAÑERÍAS </v>
      </c>
      <c r="O435" s="98" t="str">
        <f>IFERROR(__xludf.DUMMYFUNCTION("""COMPUTED_VALUE"""),"CABLEADOS EN CAÑERÍAS ")</f>
        <v>CABLEADOS EN CAÑERÍAS </v>
      </c>
      <c r="P435" s="98" t="str">
        <f>IFERROR(__xludf.DUMMYFUNCTION("""COMPUTED_VALUE"""),"CABLEADOS EN CAÑERÍAS ")</f>
        <v>CABLEADOS EN CAÑERÍAS </v>
      </c>
      <c r="Q435" s="98" t="str">
        <f>IFERROR(__xludf.DUMMYFUNCTION("""COMPUTED_VALUE"""),"CABLEADOS EN CAÑERÍAS ")</f>
        <v>CABLEADOS EN CAÑERÍAS </v>
      </c>
      <c r="R435" s="98" t="str">
        <f>IFERROR(__xludf.DUMMYFUNCTION("""COMPUTED_VALUE"""),"CABLEADOS EN CAÑERÍAS ")</f>
        <v>CABLEADOS EN CAÑERÍAS </v>
      </c>
      <c r="S435" s="98" t="str">
        <f>IFERROR(__xludf.DUMMYFUNCTION("""COMPUTED_VALUE"""),"CABLEADOS EN CAÑERÍAS ")</f>
        <v>CABLEADOS EN CAÑERÍAS </v>
      </c>
      <c r="T435" s="98" t="str">
        <f>IFERROR(__xludf.DUMMYFUNCTION("""COMPUTED_VALUE"""),"CABLEADOS EN CAÑERÍAS ")</f>
        <v>CABLEADOS EN CAÑERÍAS </v>
      </c>
      <c r="U435" s="98" t="str">
        <f>IFERROR(__xludf.DUMMYFUNCTION("""COMPUTED_VALUE"""),"CABLEADOS EN CAÑERÍAS ")</f>
        <v>CABLEADOS EN CAÑERÍAS </v>
      </c>
    </row>
    <row r="436" ht="15.75" customHeight="1">
      <c r="E436" s="98" t="str">
        <f>IFERROR(__xludf.DUMMYFUNCTION("""COMPUTED_VALUE"""),"CABLEADO EN BANDEJAS PORTA CABLES ")</f>
        <v>CABLEADO EN BANDEJAS PORTA CABLES </v>
      </c>
      <c r="F436" s="98" t="str">
        <f>IFERROR(__xludf.DUMMYFUNCTION("""COMPUTED_VALUE"""),"CABLEADO EN BANDEJAS PORTA CABLES ")</f>
        <v>CABLEADO EN BANDEJAS PORTA CABLES </v>
      </c>
      <c r="G436" s="98" t="str">
        <f>IFERROR(__xludf.DUMMYFUNCTION("""COMPUTED_VALUE"""),"CABLEADO EN BANDEJAS PORTA CABLES ")</f>
        <v>CABLEADO EN BANDEJAS PORTA CABLES </v>
      </c>
      <c r="H436" s="98" t="str">
        <f>IFERROR(__xludf.DUMMYFUNCTION("""COMPUTED_VALUE"""),"CABLEADO EN BANDEJAS PORTA CABLES ")</f>
        <v>CABLEADO EN BANDEJAS PORTA CABLES </v>
      </c>
      <c r="I436" s="98" t="str">
        <f>IFERROR(__xludf.DUMMYFUNCTION("""COMPUTED_VALUE"""),"CABLEADO EN BANDEJAS PORTA CABLES ")</f>
        <v>CABLEADO EN BANDEJAS PORTA CABLES </v>
      </c>
      <c r="J436" s="98" t="str">
        <f>IFERROR(__xludf.DUMMYFUNCTION("""COMPUTED_VALUE"""),"CABLEADO EN BANDEJAS PORTA CABLES ")</f>
        <v>CABLEADO EN BANDEJAS PORTA CABLES </v>
      </c>
      <c r="K436" s="98" t="str">
        <f>IFERROR(__xludf.DUMMYFUNCTION("""COMPUTED_VALUE"""),"CABLEADO EN BANDEJAS PORTA CABLES ")</f>
        <v>CABLEADO EN BANDEJAS PORTA CABLES </v>
      </c>
      <c r="L436" s="98" t="str">
        <f>IFERROR(__xludf.DUMMYFUNCTION("""COMPUTED_VALUE"""),"CABLEADO EN BANDEJAS PORTA CABLES ")</f>
        <v>CABLEADO EN BANDEJAS PORTA CABLES </v>
      </c>
      <c r="M436" s="98" t="str">
        <f>IFERROR(__xludf.DUMMYFUNCTION("""COMPUTED_VALUE"""),"CABLEADO EN BANDEJAS PORTA CABLES ")</f>
        <v>CABLEADO EN BANDEJAS PORTA CABLES </v>
      </c>
      <c r="N436" s="98" t="str">
        <f>IFERROR(__xludf.DUMMYFUNCTION("""COMPUTED_VALUE"""),"CABLEADO EN BANDEJAS PORTA CABLES ")</f>
        <v>CABLEADO EN BANDEJAS PORTA CABLES </v>
      </c>
      <c r="O436" s="98" t="str">
        <f>IFERROR(__xludf.DUMMYFUNCTION("""COMPUTED_VALUE"""),"CABLEADO EN BANDEJAS PORTA CABLES ")</f>
        <v>CABLEADO EN BANDEJAS PORTA CABLES </v>
      </c>
      <c r="P436" s="98" t="str">
        <f>IFERROR(__xludf.DUMMYFUNCTION("""COMPUTED_VALUE"""),"CABLEADO EN BANDEJAS PORTA CABLES ")</f>
        <v>CABLEADO EN BANDEJAS PORTA CABLES </v>
      </c>
      <c r="Q436" s="98" t="str">
        <f>IFERROR(__xludf.DUMMYFUNCTION("""COMPUTED_VALUE"""),"CABLEADO EN BANDEJAS PORTA CABLES ")</f>
        <v>CABLEADO EN BANDEJAS PORTA CABLES </v>
      </c>
      <c r="R436" s="98" t="str">
        <f>IFERROR(__xludf.DUMMYFUNCTION("""COMPUTED_VALUE"""),"CABLEADO EN BANDEJAS PORTA CABLES ")</f>
        <v>CABLEADO EN BANDEJAS PORTA CABLES </v>
      </c>
      <c r="S436" s="98" t="str">
        <f>IFERROR(__xludf.DUMMYFUNCTION("""COMPUTED_VALUE"""),"CABLEADO EN BANDEJAS PORTA CABLES ")</f>
        <v>CABLEADO EN BANDEJAS PORTA CABLES </v>
      </c>
      <c r="T436" s="98" t="str">
        <f>IFERROR(__xludf.DUMMYFUNCTION("""COMPUTED_VALUE"""),"CABLEADO EN BANDEJAS PORTA CABLES ")</f>
        <v>CABLEADO EN BANDEJAS PORTA CABLES </v>
      </c>
      <c r="U436" s="98" t="str">
        <f>IFERROR(__xludf.DUMMYFUNCTION("""COMPUTED_VALUE"""),"CABLEADO EN BANDEJAS PORTA CABLES ")</f>
        <v>CABLEADO EN BANDEJAS PORTA CABLES </v>
      </c>
    </row>
    <row r="437" ht="15.75" customHeight="1">
      <c r="E437" s="98" t="str">
        <f>IFERROR(__xludf.DUMMYFUNCTION("""COMPUTED_VALUE"""),"COLOCACIÓN DE INTERRUPTORES, TOMAS, ETC.")</f>
        <v>COLOCACIÓN DE INTERRUPTORES, TOMAS, ETC.</v>
      </c>
      <c r="F437" s="98" t="str">
        <f>IFERROR(__xludf.DUMMYFUNCTION("""COMPUTED_VALUE"""),"COLOCACIÓN DE INTERRUPTORES, TOMAS, ETC.")</f>
        <v>COLOCACIÓN DE INTERRUPTORES, TOMAS, ETC.</v>
      </c>
      <c r="G437" s="98" t="str">
        <f>IFERROR(__xludf.DUMMYFUNCTION("""COMPUTED_VALUE"""),"COLOCACIÓN DE INTERRUPTORES, TOMAS, ETC.")</f>
        <v>COLOCACIÓN DE INTERRUPTORES, TOMAS, ETC.</v>
      </c>
      <c r="H437" s="98" t="str">
        <f>IFERROR(__xludf.DUMMYFUNCTION("""COMPUTED_VALUE"""),"COLOCACIÓN DE INTERRUPTORES, TOMAS, ETC.")</f>
        <v>COLOCACIÓN DE INTERRUPTORES, TOMAS, ETC.</v>
      </c>
      <c r="I437" s="98" t="str">
        <f>IFERROR(__xludf.DUMMYFUNCTION("""COMPUTED_VALUE"""),"COLOCACIÓN DE INTERRUPTORES, TOMAS, ETC.")</f>
        <v>COLOCACIÓN DE INTERRUPTORES, TOMAS, ETC.</v>
      </c>
      <c r="J437" s="98" t="str">
        <f>IFERROR(__xludf.DUMMYFUNCTION("""COMPUTED_VALUE"""),"COLOCACIÓN DE INTERRUPTORES, TOMAS, ETC.")</f>
        <v>COLOCACIÓN DE INTERRUPTORES, TOMAS, ETC.</v>
      </c>
      <c r="K437" s="98" t="str">
        <f>IFERROR(__xludf.DUMMYFUNCTION("""COMPUTED_VALUE"""),"COLOCACIÓN DE INTERRUPTORES, TOMAS, ETC.")</f>
        <v>COLOCACIÓN DE INTERRUPTORES, TOMAS, ETC.</v>
      </c>
      <c r="L437" s="98" t="str">
        <f>IFERROR(__xludf.DUMMYFUNCTION("""COMPUTED_VALUE"""),"COLOCACIÓN DE INTERRUPTORES, TOMAS, ETC.")</f>
        <v>COLOCACIÓN DE INTERRUPTORES, TOMAS, ETC.</v>
      </c>
      <c r="M437" s="98" t="str">
        <f>IFERROR(__xludf.DUMMYFUNCTION("""COMPUTED_VALUE"""),"COLOCACIÓN DE INTERRUPTORES, TOMAS, ETC.")</f>
        <v>COLOCACIÓN DE INTERRUPTORES, TOMAS, ETC.</v>
      </c>
      <c r="N437" s="98" t="str">
        <f>IFERROR(__xludf.DUMMYFUNCTION("""COMPUTED_VALUE"""),"COLOCACIÓN DE INTERRUPTORES, TOMAS, ETC.")</f>
        <v>COLOCACIÓN DE INTERRUPTORES, TOMAS, ETC.</v>
      </c>
      <c r="O437" s="98" t="str">
        <f>IFERROR(__xludf.DUMMYFUNCTION("""COMPUTED_VALUE"""),"COLOCACIÓN DE INTERRUPTORES, TOMAS, ETC.")</f>
        <v>COLOCACIÓN DE INTERRUPTORES, TOMAS, ETC.</v>
      </c>
      <c r="P437" s="98" t="str">
        <f>IFERROR(__xludf.DUMMYFUNCTION("""COMPUTED_VALUE"""),"COLOCACIÓN DE INTERRUPTORES, TOMAS, ETC.")</f>
        <v>COLOCACIÓN DE INTERRUPTORES, TOMAS, ETC.</v>
      </c>
      <c r="Q437" s="98" t="str">
        <f>IFERROR(__xludf.DUMMYFUNCTION("""COMPUTED_VALUE"""),"COLOCACIÓN DE INTERRUPTORES, TOMAS, ETC.")</f>
        <v>COLOCACIÓN DE INTERRUPTORES, TOMAS, ETC.</v>
      </c>
      <c r="R437" s="98" t="str">
        <f>IFERROR(__xludf.DUMMYFUNCTION("""COMPUTED_VALUE"""),"COLOCACIÓN DE INTERRUPTORES, TOMAS, ETC.")</f>
        <v>COLOCACIÓN DE INTERRUPTORES, TOMAS, ETC.</v>
      </c>
      <c r="S437" s="98" t="str">
        <f>IFERROR(__xludf.DUMMYFUNCTION("""COMPUTED_VALUE"""),"COLOCACIÓN DE INTERRUPTORES, TOMAS, ETC.")</f>
        <v>COLOCACIÓN DE INTERRUPTORES, TOMAS, ETC.</v>
      </c>
      <c r="T437" s="98" t="str">
        <f>IFERROR(__xludf.DUMMYFUNCTION("""COMPUTED_VALUE"""),"COLOCACIÓN DE INTERRUPTORES, TOMAS, ETC.")</f>
        <v>COLOCACIÓN DE INTERRUPTORES, TOMAS, ETC.</v>
      </c>
      <c r="U437" s="98" t="str">
        <f>IFERROR(__xludf.DUMMYFUNCTION("""COMPUTED_VALUE"""),"COLOCACIÓN DE INTERRUPTORES, TOMAS, ETC.")</f>
        <v>COLOCACIÓN DE INTERRUPTORES, TOMAS, ETC.</v>
      </c>
    </row>
    <row r="438" ht="15.75" customHeight="1">
      <c r="E438" s="98" t="str">
        <f>IFERROR(__xludf.DUMMYFUNCTION("""COMPUTED_VALUE"""),"COLOCACIÓN DE ARTEFACTOS")</f>
        <v>COLOCACIÓN DE ARTEFACTOS</v>
      </c>
      <c r="F438" s="98" t="str">
        <f>IFERROR(__xludf.DUMMYFUNCTION("""COMPUTED_VALUE"""),"COLOCACIÓN DE ARTEFACTOS")</f>
        <v>COLOCACIÓN DE ARTEFACTOS</v>
      </c>
      <c r="G438" s="98" t="str">
        <f>IFERROR(__xludf.DUMMYFUNCTION("""COMPUTED_VALUE"""),"COLOCACIÓN DE ARTEFACTOS")</f>
        <v>COLOCACIÓN DE ARTEFACTOS</v>
      </c>
      <c r="H438" s="98" t="str">
        <f>IFERROR(__xludf.DUMMYFUNCTION("""COMPUTED_VALUE"""),"COLOCACIÓN DE ARTEFACTOS")</f>
        <v>COLOCACIÓN DE ARTEFACTOS</v>
      </c>
      <c r="I438" s="98" t="str">
        <f>IFERROR(__xludf.DUMMYFUNCTION("""COMPUTED_VALUE"""),"COLOCACIÓN DE ARTEFACTOS")</f>
        <v>COLOCACIÓN DE ARTEFACTOS</v>
      </c>
      <c r="J438" s="98" t="str">
        <f>IFERROR(__xludf.DUMMYFUNCTION("""COMPUTED_VALUE"""),"COLOCACIÓN DE ARTEFACTOS")</f>
        <v>COLOCACIÓN DE ARTEFACTOS</v>
      </c>
      <c r="K438" s="98" t="str">
        <f>IFERROR(__xludf.DUMMYFUNCTION("""COMPUTED_VALUE"""),"COLOCACIÓN DE ARTEFACTOS")</f>
        <v>COLOCACIÓN DE ARTEFACTOS</v>
      </c>
      <c r="L438" s="98" t="str">
        <f>IFERROR(__xludf.DUMMYFUNCTION("""COMPUTED_VALUE"""),"COLOCACIÓN DE ARTEFACTOS")</f>
        <v>COLOCACIÓN DE ARTEFACTOS</v>
      </c>
      <c r="M438" s="98" t="str">
        <f>IFERROR(__xludf.DUMMYFUNCTION("""COMPUTED_VALUE"""),"COLOCACIÓN DE ARTEFACTOS")</f>
        <v>COLOCACIÓN DE ARTEFACTOS</v>
      </c>
      <c r="N438" s="98" t="str">
        <f>IFERROR(__xludf.DUMMYFUNCTION("""COMPUTED_VALUE"""),"COLOCACIÓN DE ARTEFACTOS")</f>
        <v>COLOCACIÓN DE ARTEFACTOS</v>
      </c>
      <c r="O438" s="98" t="str">
        <f>IFERROR(__xludf.DUMMYFUNCTION("""COMPUTED_VALUE"""),"COLOCACIÓN DE ARTEFACTOS")</f>
        <v>COLOCACIÓN DE ARTEFACTOS</v>
      </c>
      <c r="P438" s="98" t="str">
        <f>IFERROR(__xludf.DUMMYFUNCTION("""COMPUTED_VALUE"""),"COLOCACIÓN DE ARTEFACTOS")</f>
        <v>COLOCACIÓN DE ARTEFACTOS</v>
      </c>
      <c r="Q438" s="98" t="str">
        <f>IFERROR(__xludf.DUMMYFUNCTION("""COMPUTED_VALUE"""),"COLOCACIÓN DE ARTEFACTOS")</f>
        <v>COLOCACIÓN DE ARTEFACTOS</v>
      </c>
      <c r="R438" s="98" t="str">
        <f>IFERROR(__xludf.DUMMYFUNCTION("""COMPUTED_VALUE"""),"COLOCACIÓN DE ARTEFACTOS")</f>
        <v>COLOCACIÓN DE ARTEFACTOS</v>
      </c>
      <c r="S438" s="98" t="str">
        <f>IFERROR(__xludf.DUMMYFUNCTION("""COMPUTED_VALUE"""),"COLOCACIÓN DE ARTEFACTOS")</f>
        <v>COLOCACIÓN DE ARTEFACTOS</v>
      </c>
      <c r="T438" s="98" t="str">
        <f>IFERROR(__xludf.DUMMYFUNCTION("""COMPUTED_VALUE"""),"COLOCACIÓN DE ARTEFACTOS")</f>
        <v>COLOCACIÓN DE ARTEFACTOS</v>
      </c>
      <c r="U438" s="98" t="str">
        <f>IFERROR(__xludf.DUMMYFUNCTION("""COMPUTED_VALUE"""),"COLOCACIÓN DE ARTEFACTOS")</f>
        <v>COLOCACIÓN DE ARTEFACTOS</v>
      </c>
    </row>
    <row r="439" ht="15.75" customHeight="1">
      <c r="E439" s="98" t="str">
        <f>IFERROR(__xludf.DUMMYFUNCTION("""COMPUTED_VALUE"""),"COLOCACIÓN DE ELEMENTOS DE PROTECCIÓN Y COMANDO")</f>
        <v>COLOCACIÓN DE ELEMENTOS DE PROTECCIÓN Y COMANDO</v>
      </c>
      <c r="F439" s="98" t="str">
        <f>IFERROR(__xludf.DUMMYFUNCTION("""COMPUTED_VALUE"""),"COLOCACIÓN DE ELEMENTOS DE PROTECCIÓN Y COMANDO")</f>
        <v>COLOCACIÓN DE ELEMENTOS DE PROTECCIÓN Y COMANDO</v>
      </c>
      <c r="G439" s="98" t="str">
        <f>IFERROR(__xludf.DUMMYFUNCTION("""COMPUTED_VALUE"""),"COLOCACIÓN DE ELEMENTOS DE PROTECCIÓN Y COMANDO")</f>
        <v>COLOCACIÓN DE ELEMENTOS DE PROTECCIÓN Y COMANDO</v>
      </c>
      <c r="H439" s="98" t="str">
        <f>IFERROR(__xludf.DUMMYFUNCTION("""COMPUTED_VALUE"""),"COLOCACIÓN DE ELEMENTOS DE PROTECCIÓN Y COMANDO")</f>
        <v>COLOCACIÓN DE ELEMENTOS DE PROTECCIÓN Y COMANDO</v>
      </c>
      <c r="I439" s="98" t="str">
        <f>IFERROR(__xludf.DUMMYFUNCTION("""COMPUTED_VALUE"""),"COLOCACIÓN DE ELEMENTOS DE PROTECCIÓN Y COMANDO")</f>
        <v>COLOCACIÓN DE ELEMENTOS DE PROTECCIÓN Y COMANDO</v>
      </c>
      <c r="J439" s="98" t="str">
        <f>IFERROR(__xludf.DUMMYFUNCTION("""COMPUTED_VALUE"""),"COLOCACIÓN DE ELEMENTOS DE PROTECCIÓN Y COMANDO")</f>
        <v>COLOCACIÓN DE ELEMENTOS DE PROTECCIÓN Y COMANDO</v>
      </c>
      <c r="K439" s="98" t="str">
        <f>IFERROR(__xludf.DUMMYFUNCTION("""COMPUTED_VALUE"""),"COLOCACIÓN DE ELEMENTOS DE PROTECCIÓN Y COMANDO")</f>
        <v>COLOCACIÓN DE ELEMENTOS DE PROTECCIÓN Y COMANDO</v>
      </c>
      <c r="L439" s="98" t="str">
        <f>IFERROR(__xludf.DUMMYFUNCTION("""COMPUTED_VALUE"""),"COLOCACIÓN DE ELEMENTOS DE PROTECCIÓN Y COMANDO")</f>
        <v>COLOCACIÓN DE ELEMENTOS DE PROTECCIÓN Y COMANDO</v>
      </c>
      <c r="M439" s="98" t="str">
        <f>IFERROR(__xludf.DUMMYFUNCTION("""COMPUTED_VALUE"""),"COLOCACIÓN DE ELEMENTOS DE PROTECCIÓN Y COMANDO")</f>
        <v>COLOCACIÓN DE ELEMENTOS DE PROTECCIÓN Y COMANDO</v>
      </c>
      <c r="N439" s="98" t="str">
        <f>IFERROR(__xludf.DUMMYFUNCTION("""COMPUTED_VALUE"""),"COLOCACIÓN DE ELEMENTOS DE PROTECCIÓN Y COMANDO")</f>
        <v>COLOCACIÓN DE ELEMENTOS DE PROTECCIÓN Y COMANDO</v>
      </c>
      <c r="O439" s="98" t="str">
        <f>IFERROR(__xludf.DUMMYFUNCTION("""COMPUTED_VALUE"""),"COLOCACIÓN DE ELEMENTOS DE PROTECCIÓN Y COMANDO")</f>
        <v>COLOCACIÓN DE ELEMENTOS DE PROTECCIÓN Y COMANDO</v>
      </c>
      <c r="P439" s="98" t="str">
        <f>IFERROR(__xludf.DUMMYFUNCTION("""COMPUTED_VALUE"""),"COLOCACIÓN DE ELEMENTOS DE PROTECCIÓN Y COMANDO")</f>
        <v>COLOCACIÓN DE ELEMENTOS DE PROTECCIÓN Y COMANDO</v>
      </c>
      <c r="Q439" s="98" t="str">
        <f>IFERROR(__xludf.DUMMYFUNCTION("""COMPUTED_VALUE"""),"COLOCACIÓN DE ELEMENTOS DE PROTECCIÓN Y COMANDO")</f>
        <v>COLOCACIÓN DE ELEMENTOS DE PROTECCIÓN Y COMANDO</v>
      </c>
      <c r="R439" s="98" t="str">
        <f>IFERROR(__xludf.DUMMYFUNCTION("""COMPUTED_VALUE"""),"COLOCACIÓN DE ELEMENTOS DE PROTECCIÓN Y COMANDO")</f>
        <v>COLOCACIÓN DE ELEMENTOS DE PROTECCIÓN Y COMANDO</v>
      </c>
      <c r="S439" s="98" t="str">
        <f>IFERROR(__xludf.DUMMYFUNCTION("""COMPUTED_VALUE"""),"COLOCACIÓN DE ELEMENTOS DE PROTECCIÓN Y COMANDO")</f>
        <v>COLOCACIÓN DE ELEMENTOS DE PROTECCIÓN Y COMANDO</v>
      </c>
      <c r="T439" s="98" t="str">
        <f>IFERROR(__xludf.DUMMYFUNCTION("""COMPUTED_VALUE"""),"COLOCACIÓN DE ELEMENTOS DE PROTECCIÓN Y COMANDO")</f>
        <v>COLOCACIÓN DE ELEMENTOS DE PROTECCIÓN Y COMANDO</v>
      </c>
      <c r="U439" s="98" t="str">
        <f>IFERROR(__xludf.DUMMYFUNCTION("""COMPUTED_VALUE"""),"COLOCACIÓN DE ELEMENTOS DE PROTECCIÓN Y COMANDO")</f>
        <v>COLOCACIÓN DE ELEMENTOS DE PROTECCIÓN Y COMANDO</v>
      </c>
    </row>
    <row r="440" ht="15.75" customHeight="1">
      <c r="E440" s="98" t="str">
        <f>IFERROR(__xludf.DUMMYFUNCTION("""COMPUTED_VALUE"""),"TABLERO DE COMANDO DE MOTORES")</f>
        <v>TABLERO DE COMANDO DE MOTORES</v>
      </c>
      <c r="F440" s="98" t="str">
        <f>IFERROR(__xludf.DUMMYFUNCTION("""COMPUTED_VALUE"""),"TABLERO DE COMANDO DE MOTORES")</f>
        <v>TABLERO DE COMANDO DE MOTORES</v>
      </c>
      <c r="G440" s="98" t="str">
        <f>IFERROR(__xludf.DUMMYFUNCTION("""COMPUTED_VALUE"""),"TABLERO DE COMANDO DE MOTORES")</f>
        <v>TABLERO DE COMANDO DE MOTORES</v>
      </c>
      <c r="H440" s="98" t="str">
        <f>IFERROR(__xludf.DUMMYFUNCTION("""COMPUTED_VALUE"""),"TABLERO DE COMANDO DE MOTORES")</f>
        <v>TABLERO DE COMANDO DE MOTORES</v>
      </c>
      <c r="I440" s="98" t="str">
        <f>IFERROR(__xludf.DUMMYFUNCTION("""COMPUTED_VALUE"""),"TABLERO DE COMANDO DE MOTORES")</f>
        <v>TABLERO DE COMANDO DE MOTORES</v>
      </c>
      <c r="J440" s="98" t="str">
        <f>IFERROR(__xludf.DUMMYFUNCTION("""COMPUTED_VALUE"""),"TABLERO DE COMANDO DE MOTORES")</f>
        <v>TABLERO DE COMANDO DE MOTORES</v>
      </c>
      <c r="K440" s="98" t="str">
        <f>IFERROR(__xludf.DUMMYFUNCTION("""COMPUTED_VALUE"""),"TABLERO DE COMANDO DE MOTORES")</f>
        <v>TABLERO DE COMANDO DE MOTORES</v>
      </c>
      <c r="L440" s="98" t="str">
        <f>IFERROR(__xludf.DUMMYFUNCTION("""COMPUTED_VALUE"""),"TABLERO DE COMANDO DE MOTORES")</f>
        <v>TABLERO DE COMANDO DE MOTORES</v>
      </c>
      <c r="M440" s="98" t="str">
        <f>IFERROR(__xludf.DUMMYFUNCTION("""COMPUTED_VALUE"""),"TABLERO DE COMANDO DE MOTORES")</f>
        <v>TABLERO DE COMANDO DE MOTORES</v>
      </c>
      <c r="N440" s="98" t="str">
        <f>IFERROR(__xludf.DUMMYFUNCTION("""COMPUTED_VALUE"""),"TABLERO DE COMANDO DE MOTORES")</f>
        <v>TABLERO DE COMANDO DE MOTORES</v>
      </c>
      <c r="O440" s="98" t="str">
        <f>IFERROR(__xludf.DUMMYFUNCTION("""COMPUTED_VALUE"""),"TABLERO DE COMANDO DE MOTORES")</f>
        <v>TABLERO DE COMANDO DE MOTORES</v>
      </c>
      <c r="P440" s="98" t="str">
        <f>IFERROR(__xludf.DUMMYFUNCTION("""COMPUTED_VALUE"""),"TABLERO DE COMANDO DE MOTORES")</f>
        <v>TABLERO DE COMANDO DE MOTORES</v>
      </c>
      <c r="Q440" s="98" t="str">
        <f>IFERROR(__xludf.DUMMYFUNCTION("""COMPUTED_VALUE"""),"TABLERO DE COMANDO DE MOTORES")</f>
        <v>TABLERO DE COMANDO DE MOTORES</v>
      </c>
      <c r="R440" s="98" t="str">
        <f>IFERROR(__xludf.DUMMYFUNCTION("""COMPUTED_VALUE"""),"TABLERO DE COMANDO DE MOTORES")</f>
        <v>TABLERO DE COMANDO DE MOTORES</v>
      </c>
      <c r="S440" s="98" t="str">
        <f>IFERROR(__xludf.DUMMYFUNCTION("""COMPUTED_VALUE"""),"TABLERO DE COMANDO DE MOTORES")</f>
        <v>TABLERO DE COMANDO DE MOTORES</v>
      </c>
      <c r="T440" s="98" t="str">
        <f>IFERROR(__xludf.DUMMYFUNCTION("""COMPUTED_VALUE"""),"TABLERO DE COMANDO DE MOTORES")</f>
        <v>TABLERO DE COMANDO DE MOTORES</v>
      </c>
      <c r="U440" s="98" t="str">
        <f>IFERROR(__xludf.DUMMYFUNCTION("""COMPUTED_VALUE"""),"TABLERO DE COMANDO DE MOTORES")</f>
        <v>TABLERO DE COMANDO DE MOTORES</v>
      </c>
    </row>
    <row r="441" ht="15.75" customHeight="1">
      <c r="E441" s="98" t="str">
        <f>IFERROR(__xludf.DUMMYFUNCTION("""COMPUTED_VALUE"""),"EMERGENCIAS ")</f>
        <v>EMERGENCIAS </v>
      </c>
      <c r="F441" s="98" t="str">
        <f>IFERROR(__xludf.DUMMYFUNCTION("""COMPUTED_VALUE"""),"EMERGENCIAS ")</f>
        <v>EMERGENCIAS </v>
      </c>
      <c r="G441" s="98" t="str">
        <f>IFERROR(__xludf.DUMMYFUNCTION("""COMPUTED_VALUE"""),"EMERGENCIAS ")</f>
        <v>EMERGENCIAS </v>
      </c>
      <c r="H441" s="98" t="str">
        <f>IFERROR(__xludf.DUMMYFUNCTION("""COMPUTED_VALUE"""),"EMERGENCIAS ")</f>
        <v>EMERGENCIAS </v>
      </c>
      <c r="I441" s="98" t="str">
        <f>IFERROR(__xludf.DUMMYFUNCTION("""COMPUTED_VALUE"""),"EMERGENCIAS ")</f>
        <v>EMERGENCIAS </v>
      </c>
      <c r="J441" s="98" t="str">
        <f>IFERROR(__xludf.DUMMYFUNCTION("""COMPUTED_VALUE"""),"EMERGENCIAS ")</f>
        <v>EMERGENCIAS </v>
      </c>
      <c r="K441" s="98" t="str">
        <f>IFERROR(__xludf.DUMMYFUNCTION("""COMPUTED_VALUE"""),"EMERGENCIAS ")</f>
        <v>EMERGENCIAS </v>
      </c>
      <c r="L441" s="98" t="str">
        <f>IFERROR(__xludf.DUMMYFUNCTION("""COMPUTED_VALUE"""),"EMERGENCIAS ")</f>
        <v>EMERGENCIAS </v>
      </c>
      <c r="M441" s="98" t="str">
        <f>IFERROR(__xludf.DUMMYFUNCTION("""COMPUTED_VALUE"""),"EMERGENCIAS ")</f>
        <v>EMERGENCIAS </v>
      </c>
      <c r="N441" s="98" t="str">
        <f>IFERROR(__xludf.DUMMYFUNCTION("""COMPUTED_VALUE"""),"EMERGENCIAS ")</f>
        <v>EMERGENCIAS </v>
      </c>
      <c r="O441" s="98" t="str">
        <f>IFERROR(__xludf.DUMMYFUNCTION("""COMPUTED_VALUE"""),"EMERGENCIAS ")</f>
        <v>EMERGENCIAS </v>
      </c>
      <c r="P441" s="98" t="str">
        <f>IFERROR(__xludf.DUMMYFUNCTION("""COMPUTED_VALUE"""),"EMERGENCIAS ")</f>
        <v>EMERGENCIAS </v>
      </c>
      <c r="Q441" s="98" t="str">
        <f>IFERROR(__xludf.DUMMYFUNCTION("""COMPUTED_VALUE"""),"EMERGENCIAS ")</f>
        <v>EMERGENCIAS </v>
      </c>
      <c r="R441" s="98" t="str">
        <f>IFERROR(__xludf.DUMMYFUNCTION("""COMPUTED_VALUE"""),"EMERGENCIAS ")</f>
        <v>EMERGENCIAS </v>
      </c>
      <c r="S441" s="98" t="str">
        <f>IFERROR(__xludf.DUMMYFUNCTION("""COMPUTED_VALUE"""),"EMERGENCIAS ")</f>
        <v>EMERGENCIAS </v>
      </c>
      <c r="T441" s="98" t="str">
        <f>IFERROR(__xludf.DUMMYFUNCTION("""COMPUTED_VALUE"""),"EMERGENCIAS ")</f>
        <v>EMERGENCIAS </v>
      </c>
      <c r="U441" s="98" t="str">
        <f>IFERROR(__xludf.DUMMYFUNCTION("""COMPUTED_VALUE"""),"EMERGENCIAS ")</f>
        <v>EMERGENCIAS </v>
      </c>
    </row>
    <row r="442" ht="15.75" customHeight="1">
      <c r="E442" s="98" t="str">
        <f>IFERROR(__xludf.DUMMYFUNCTION("""COMPUTED_VALUE"""),"MANTENIMIENTO DE TABLEROS ELÉCTRICOS E INSTALACIONES ELECTRICAS")</f>
        <v>MANTENIMIENTO DE TABLEROS ELÉCTRICOS E INSTALACIONES ELECTRICAS</v>
      </c>
      <c r="F442" s="98" t="str">
        <f>IFERROR(__xludf.DUMMYFUNCTION("""COMPUTED_VALUE"""),"MANTENIMIENTO DE TABLEROS ELÉCTRICOS E INSTALACIONES ELECTRICAS")</f>
        <v>MANTENIMIENTO DE TABLEROS ELÉCTRICOS E INSTALACIONES ELECTRICAS</v>
      </c>
      <c r="G442" s="98" t="str">
        <f>IFERROR(__xludf.DUMMYFUNCTION("""COMPUTED_VALUE"""),"MANTENIMIENTO DE TABLEROS ELÉCTRICOS E INSTALACIONES ELECTRICAS")</f>
        <v>MANTENIMIENTO DE TABLEROS ELÉCTRICOS E INSTALACIONES ELECTRICAS</v>
      </c>
      <c r="H442" s="98" t="str">
        <f>IFERROR(__xludf.DUMMYFUNCTION("""COMPUTED_VALUE"""),"MANTENIMIENTO DE TABLEROS ELÉCTRICOS E INSTALACIONES ELECTRICAS")</f>
        <v>MANTENIMIENTO DE TABLEROS ELÉCTRICOS E INSTALACIONES ELECTRICAS</v>
      </c>
      <c r="I442" s="98" t="str">
        <f>IFERROR(__xludf.DUMMYFUNCTION("""COMPUTED_VALUE"""),"MANTENIMIENTO DE TABLEROS ELÉCTRICOS E INSTALACIONES ELECTRICAS")</f>
        <v>MANTENIMIENTO DE TABLEROS ELÉCTRICOS E INSTALACIONES ELECTRICAS</v>
      </c>
      <c r="J442" s="98" t="str">
        <f>IFERROR(__xludf.DUMMYFUNCTION("""COMPUTED_VALUE"""),"MANTENIMIENTO DE TABLEROS ELÉCTRICOS E INSTALACIONES ELECTRICAS")</f>
        <v>MANTENIMIENTO DE TABLEROS ELÉCTRICOS E INSTALACIONES ELECTRICAS</v>
      </c>
      <c r="K442" s="98" t="str">
        <f>IFERROR(__xludf.DUMMYFUNCTION("""COMPUTED_VALUE"""),"MANTENIMIENTO DE TABLEROS ELÉCTRICOS E INSTALACIONES ELECTRICAS")</f>
        <v>MANTENIMIENTO DE TABLEROS ELÉCTRICOS E INSTALACIONES ELECTRICAS</v>
      </c>
      <c r="L442" s="98" t="str">
        <f>IFERROR(__xludf.DUMMYFUNCTION("""COMPUTED_VALUE"""),"MANTENIMIENTO DE TABLEROS ELÉCTRICOS E INSTALACIONES ELECTRICAS")</f>
        <v>MANTENIMIENTO DE TABLEROS ELÉCTRICOS E INSTALACIONES ELECTRICAS</v>
      </c>
      <c r="M442" s="98" t="str">
        <f>IFERROR(__xludf.DUMMYFUNCTION("""COMPUTED_VALUE"""),"MANTENIMIENTO DE TABLEROS ELÉCTRICOS E INSTALACIONES ELECTRICAS")</f>
        <v>MANTENIMIENTO DE TABLEROS ELÉCTRICOS E INSTALACIONES ELECTRICAS</v>
      </c>
      <c r="N442" s="98" t="str">
        <f>IFERROR(__xludf.DUMMYFUNCTION("""COMPUTED_VALUE"""),"MANTENIMIENTO DE TABLEROS ELÉCTRICOS E INSTALACIONES ELECTRICAS")</f>
        <v>MANTENIMIENTO DE TABLEROS ELÉCTRICOS E INSTALACIONES ELECTRICAS</v>
      </c>
      <c r="O442" s="98" t="str">
        <f>IFERROR(__xludf.DUMMYFUNCTION("""COMPUTED_VALUE"""),"MANTENIMIENTO DE TABLEROS ELÉCTRICOS E INSTALACIONES ELECTRICAS")</f>
        <v>MANTENIMIENTO DE TABLEROS ELÉCTRICOS E INSTALACIONES ELECTRICAS</v>
      </c>
      <c r="P442" s="98" t="str">
        <f>IFERROR(__xludf.DUMMYFUNCTION("""COMPUTED_VALUE"""),"MANTENIMIENTO DE TABLEROS ELÉCTRICOS E INSTALACIONES ELECTRICAS")</f>
        <v>MANTENIMIENTO DE TABLEROS ELÉCTRICOS E INSTALACIONES ELECTRICAS</v>
      </c>
      <c r="Q442" s="98" t="str">
        <f>IFERROR(__xludf.DUMMYFUNCTION("""COMPUTED_VALUE"""),"MANTENIMIENTO DE TABLEROS ELÉCTRICOS E INSTALACIONES ELECTRICAS")</f>
        <v>MANTENIMIENTO DE TABLEROS ELÉCTRICOS E INSTALACIONES ELECTRICAS</v>
      </c>
      <c r="R442" s="98" t="str">
        <f>IFERROR(__xludf.DUMMYFUNCTION("""COMPUTED_VALUE"""),"MANTENIMIENTO DE TABLEROS ELÉCTRICOS E INSTALACIONES ELECTRICAS")</f>
        <v>MANTENIMIENTO DE TABLEROS ELÉCTRICOS E INSTALACIONES ELECTRICAS</v>
      </c>
      <c r="S442" s="98" t="str">
        <f>IFERROR(__xludf.DUMMYFUNCTION("""COMPUTED_VALUE"""),"MANTENIMIENTO DE TABLEROS ELÉCTRICOS E INSTALACIONES ELECTRICAS")</f>
        <v>MANTENIMIENTO DE TABLEROS ELÉCTRICOS E INSTALACIONES ELECTRICAS</v>
      </c>
      <c r="T442" s="98" t="str">
        <f>IFERROR(__xludf.DUMMYFUNCTION("""COMPUTED_VALUE"""),"MANTENIMIENTO DE TABLEROS ELÉCTRICOS E INSTALACIONES ELECTRICAS")</f>
        <v>MANTENIMIENTO DE TABLEROS ELÉCTRICOS E INSTALACIONES ELECTRICAS</v>
      </c>
      <c r="U442" s="98" t="str">
        <f>IFERROR(__xludf.DUMMYFUNCTION("""COMPUTED_VALUE"""),"MANTENIMIENTO DE TABLEROS ELÉCTRICOS E INSTALACIONES ELECTRICAS")</f>
        <v>MANTENIMIENTO DE TABLEROS ELÉCTRICOS E INSTALACIONES ELECTRICAS</v>
      </c>
    </row>
    <row r="443" ht="15.75" customHeight="1">
      <c r="E443" s="98" t="str">
        <f>IFERROR(__xludf.DUMMYFUNCTION("""COMPUTED_VALUE"""),"VARIOS BAJA TENSIÓN ")</f>
        <v>VARIOS BAJA TENSIÓN </v>
      </c>
      <c r="F443" s="98" t="str">
        <f>IFERROR(__xludf.DUMMYFUNCTION("""COMPUTED_VALUE"""),"VARIOS BAJA TENSIÓN ")</f>
        <v>VARIOS BAJA TENSIÓN </v>
      </c>
      <c r="G443" s="98" t="str">
        <f>IFERROR(__xludf.DUMMYFUNCTION("""COMPUTED_VALUE"""),"VARIOS BAJA TENSIÓN ")</f>
        <v>VARIOS BAJA TENSIÓN </v>
      </c>
      <c r="H443" s="98" t="str">
        <f>IFERROR(__xludf.DUMMYFUNCTION("""COMPUTED_VALUE"""),"VARIOS BAJA TENSIÓN ")</f>
        <v>VARIOS BAJA TENSIÓN </v>
      </c>
      <c r="I443" s="98" t="str">
        <f>IFERROR(__xludf.DUMMYFUNCTION("""COMPUTED_VALUE"""),"VARIOS BAJA TENSIÓN ")</f>
        <v>VARIOS BAJA TENSIÓN </v>
      </c>
      <c r="J443" s="98" t="str">
        <f>IFERROR(__xludf.DUMMYFUNCTION("""COMPUTED_VALUE"""),"VARIOS BAJA TENSIÓN ")</f>
        <v>VARIOS BAJA TENSIÓN </v>
      </c>
      <c r="K443" s="98" t="str">
        <f>IFERROR(__xludf.DUMMYFUNCTION("""COMPUTED_VALUE"""),"VARIOS BAJA TENSIÓN ")</f>
        <v>VARIOS BAJA TENSIÓN </v>
      </c>
      <c r="L443" s="98" t="str">
        <f>IFERROR(__xludf.DUMMYFUNCTION("""COMPUTED_VALUE"""),"VARIOS BAJA TENSIÓN ")</f>
        <v>VARIOS BAJA TENSIÓN </v>
      </c>
      <c r="M443" s="98" t="str">
        <f>IFERROR(__xludf.DUMMYFUNCTION("""COMPUTED_VALUE"""),"VARIOS BAJA TENSIÓN ")</f>
        <v>VARIOS BAJA TENSIÓN </v>
      </c>
      <c r="N443" s="98" t="str">
        <f>IFERROR(__xludf.DUMMYFUNCTION("""COMPUTED_VALUE"""),"VARIOS BAJA TENSIÓN ")</f>
        <v>VARIOS BAJA TENSIÓN </v>
      </c>
      <c r="O443" s="98" t="str">
        <f>IFERROR(__xludf.DUMMYFUNCTION("""COMPUTED_VALUE"""),"VARIOS BAJA TENSIÓN ")</f>
        <v>VARIOS BAJA TENSIÓN </v>
      </c>
      <c r="P443" s="98" t="str">
        <f>IFERROR(__xludf.DUMMYFUNCTION("""COMPUTED_VALUE"""),"VARIOS BAJA TENSIÓN ")</f>
        <v>VARIOS BAJA TENSIÓN </v>
      </c>
      <c r="Q443" s="98" t="str">
        <f>IFERROR(__xludf.DUMMYFUNCTION("""COMPUTED_VALUE"""),"VARIOS BAJA TENSIÓN ")</f>
        <v>VARIOS BAJA TENSIÓN </v>
      </c>
      <c r="R443" s="98" t="str">
        <f>IFERROR(__xludf.DUMMYFUNCTION("""COMPUTED_VALUE"""),"VARIOS BAJA TENSIÓN ")</f>
        <v>VARIOS BAJA TENSIÓN </v>
      </c>
      <c r="S443" s="98" t="str">
        <f>IFERROR(__xludf.DUMMYFUNCTION("""COMPUTED_VALUE"""),"VARIOS BAJA TENSIÓN ")</f>
        <v>VARIOS BAJA TENSIÓN </v>
      </c>
      <c r="T443" s="98" t="str">
        <f>IFERROR(__xludf.DUMMYFUNCTION("""COMPUTED_VALUE"""),"VARIOS BAJA TENSIÓN ")</f>
        <v>VARIOS BAJA TENSIÓN </v>
      </c>
      <c r="U443" s="98" t="str">
        <f>IFERROR(__xludf.DUMMYFUNCTION("""COMPUTED_VALUE"""),"VARIOS BAJA TENSIÓN ")</f>
        <v>VARIOS BAJA TENSIÓN </v>
      </c>
    </row>
    <row r="444" ht="15.75" customHeight="1">
      <c r="E444" s="98" t="str">
        <f>IFERROR(__xludf.DUMMYFUNCTION("""COMPUTED_VALUE"""),"COLOCACIÓN DE PORTERO ELÉCTRICO UNIFAMILIAR")</f>
        <v>COLOCACIÓN DE PORTERO ELÉCTRICO UNIFAMILIAR</v>
      </c>
      <c r="F444" s="98" t="str">
        <f>IFERROR(__xludf.DUMMYFUNCTION("""COMPUTED_VALUE"""),"COLOCACIÓN DE PORTERO ELÉCTRICO UNIFAMILIAR")</f>
        <v>COLOCACIÓN DE PORTERO ELÉCTRICO UNIFAMILIAR</v>
      </c>
      <c r="G444" s="98" t="str">
        <f>IFERROR(__xludf.DUMMYFUNCTION("""COMPUTED_VALUE"""),"COLOCACIÓN DE PORTERO ELÉCTRICO UNIFAMILIAR")</f>
        <v>COLOCACIÓN DE PORTERO ELÉCTRICO UNIFAMILIAR</v>
      </c>
      <c r="H444" s="98" t="str">
        <f>IFERROR(__xludf.DUMMYFUNCTION("""COMPUTED_VALUE"""),"COLOCACIÓN DE PORTERO ELÉCTRICO UNIFAMILIAR")</f>
        <v>COLOCACIÓN DE PORTERO ELÉCTRICO UNIFAMILIAR</v>
      </c>
      <c r="I444" s="98" t="str">
        <f>IFERROR(__xludf.DUMMYFUNCTION("""COMPUTED_VALUE"""),"COLOCACIÓN DE PORTERO ELÉCTRICO UNIFAMILIAR")</f>
        <v>COLOCACIÓN DE PORTERO ELÉCTRICO UNIFAMILIAR</v>
      </c>
      <c r="J444" s="98" t="str">
        <f>IFERROR(__xludf.DUMMYFUNCTION("""COMPUTED_VALUE"""),"COLOCACIÓN DE PORTERO ELÉCTRICO UNIFAMILIAR")</f>
        <v>COLOCACIÓN DE PORTERO ELÉCTRICO UNIFAMILIAR</v>
      </c>
      <c r="K444" s="98" t="str">
        <f>IFERROR(__xludf.DUMMYFUNCTION("""COMPUTED_VALUE"""),"COLOCACIÓN DE PORTERO ELÉCTRICO UNIFAMILIAR")</f>
        <v>COLOCACIÓN DE PORTERO ELÉCTRICO UNIFAMILIAR</v>
      </c>
      <c r="L444" s="98" t="str">
        <f>IFERROR(__xludf.DUMMYFUNCTION("""COMPUTED_VALUE"""),"COLOCACIÓN DE PORTERO ELÉCTRICO UNIFAMILIAR")</f>
        <v>COLOCACIÓN DE PORTERO ELÉCTRICO UNIFAMILIAR</v>
      </c>
      <c r="M444" s="98" t="str">
        <f>IFERROR(__xludf.DUMMYFUNCTION("""COMPUTED_VALUE"""),"COLOCACIÓN DE PORTERO ELÉCTRICO UNIFAMILIAR")</f>
        <v>COLOCACIÓN DE PORTERO ELÉCTRICO UNIFAMILIAR</v>
      </c>
      <c r="N444" s="98" t="str">
        <f>IFERROR(__xludf.DUMMYFUNCTION("""COMPUTED_VALUE"""),"COLOCACIÓN DE PORTERO ELÉCTRICO UNIFAMILIAR")</f>
        <v>COLOCACIÓN DE PORTERO ELÉCTRICO UNIFAMILIAR</v>
      </c>
      <c r="O444" s="98" t="str">
        <f>IFERROR(__xludf.DUMMYFUNCTION("""COMPUTED_VALUE"""),"COLOCACIÓN DE PORTERO ELÉCTRICO UNIFAMILIAR")</f>
        <v>COLOCACIÓN DE PORTERO ELÉCTRICO UNIFAMILIAR</v>
      </c>
      <c r="P444" s="98" t="str">
        <f>IFERROR(__xludf.DUMMYFUNCTION("""COMPUTED_VALUE"""),"COLOCACIÓN DE PORTERO ELÉCTRICO UNIFAMILIAR")</f>
        <v>COLOCACIÓN DE PORTERO ELÉCTRICO UNIFAMILIAR</v>
      </c>
      <c r="Q444" s="98" t="str">
        <f>IFERROR(__xludf.DUMMYFUNCTION("""COMPUTED_VALUE"""),"COLOCACIÓN DE PORTERO ELÉCTRICO UNIFAMILIAR")</f>
        <v>COLOCACIÓN DE PORTERO ELÉCTRICO UNIFAMILIAR</v>
      </c>
      <c r="R444" s="98" t="str">
        <f>IFERROR(__xludf.DUMMYFUNCTION("""COMPUTED_VALUE"""),"COLOCACIÓN DE PORTERO ELÉCTRICO UNIFAMILIAR")</f>
        <v>COLOCACIÓN DE PORTERO ELÉCTRICO UNIFAMILIAR</v>
      </c>
      <c r="S444" s="98" t="str">
        <f>IFERROR(__xludf.DUMMYFUNCTION("""COMPUTED_VALUE"""),"COLOCACIÓN DE PORTERO ELÉCTRICO UNIFAMILIAR")</f>
        <v>COLOCACIÓN DE PORTERO ELÉCTRICO UNIFAMILIAR</v>
      </c>
      <c r="T444" s="98" t="str">
        <f>IFERROR(__xludf.DUMMYFUNCTION("""COMPUTED_VALUE"""),"COLOCACIÓN DE PORTERO ELÉCTRICO UNIFAMILIAR")</f>
        <v>COLOCACIÓN DE PORTERO ELÉCTRICO UNIFAMILIAR</v>
      </c>
      <c r="U444" s="98" t="str">
        <f>IFERROR(__xludf.DUMMYFUNCTION("""COMPUTED_VALUE"""),"COLOCACIÓN DE PORTERO ELÉCTRICO UNIFAMILIAR")</f>
        <v>COLOCACIÓN DE PORTERO ELÉCTRICO UNIFAMILIAR</v>
      </c>
    </row>
    <row r="445" ht="15.75" customHeight="1">
      <c r="E445" s="98" t="str">
        <f>IFERROR(__xludf.DUMMYFUNCTION("""COMPUTED_VALUE"""),"COLOCACIÓN DE PORTERO ELÉCTRICO EN EDIFICIO (AUDIO SOLO) MULTIFAMILIAR")</f>
        <v>COLOCACIÓN DE PORTERO ELÉCTRICO EN EDIFICIO (AUDIO SOLO) MULTIFAMILIAR</v>
      </c>
      <c r="F445" s="98" t="str">
        <f>IFERROR(__xludf.DUMMYFUNCTION("""COMPUTED_VALUE"""),"COLOCACIÓN DE PORTERO ELÉCTRICO EN EDIFICIO (AUDIO SOLO) MULTIFAMILIAR")</f>
        <v>COLOCACIÓN DE PORTERO ELÉCTRICO EN EDIFICIO (AUDIO SOLO) MULTIFAMILIAR</v>
      </c>
      <c r="G445" s="98" t="str">
        <f>IFERROR(__xludf.DUMMYFUNCTION("""COMPUTED_VALUE"""),"COLOCACIÓN DE PORTERO ELÉCTRICO EN EDIFICIO (AUDIO SOLO) MULTIFAMILIAR")</f>
        <v>COLOCACIÓN DE PORTERO ELÉCTRICO EN EDIFICIO (AUDIO SOLO) MULTIFAMILIAR</v>
      </c>
      <c r="H445" s="98" t="str">
        <f>IFERROR(__xludf.DUMMYFUNCTION("""COMPUTED_VALUE"""),"COLOCACIÓN DE PORTERO ELÉCTRICO EN EDIFICIO (AUDIO SOLO) MULTIFAMILIAR")</f>
        <v>COLOCACIÓN DE PORTERO ELÉCTRICO EN EDIFICIO (AUDIO SOLO) MULTIFAMILIAR</v>
      </c>
      <c r="I445" s="98" t="str">
        <f>IFERROR(__xludf.DUMMYFUNCTION("""COMPUTED_VALUE"""),"COLOCACIÓN DE PORTERO ELÉCTRICO EN EDIFICIO (AUDIO SOLO) MULTIFAMILIAR")</f>
        <v>COLOCACIÓN DE PORTERO ELÉCTRICO EN EDIFICIO (AUDIO SOLO) MULTIFAMILIAR</v>
      </c>
      <c r="J445" s="98" t="str">
        <f>IFERROR(__xludf.DUMMYFUNCTION("""COMPUTED_VALUE"""),"COLOCACIÓN DE PORTERO ELÉCTRICO EN EDIFICIO (AUDIO SOLO) MULTIFAMILIAR")</f>
        <v>COLOCACIÓN DE PORTERO ELÉCTRICO EN EDIFICIO (AUDIO SOLO) MULTIFAMILIAR</v>
      </c>
      <c r="K445" s="98" t="str">
        <f>IFERROR(__xludf.DUMMYFUNCTION("""COMPUTED_VALUE"""),"COLOCACIÓN DE PORTERO ELÉCTRICO EN EDIFICIO (AUDIO SOLO) MULTIFAMILIAR")</f>
        <v>COLOCACIÓN DE PORTERO ELÉCTRICO EN EDIFICIO (AUDIO SOLO) MULTIFAMILIAR</v>
      </c>
      <c r="L445" s="98" t="str">
        <f>IFERROR(__xludf.DUMMYFUNCTION("""COMPUTED_VALUE"""),"COLOCACIÓN DE PORTERO ELÉCTRICO EN EDIFICIO (AUDIO SOLO) MULTIFAMILIAR")</f>
        <v>COLOCACIÓN DE PORTERO ELÉCTRICO EN EDIFICIO (AUDIO SOLO) MULTIFAMILIAR</v>
      </c>
      <c r="M445" s="98" t="str">
        <f>IFERROR(__xludf.DUMMYFUNCTION("""COMPUTED_VALUE"""),"COLOCACIÓN DE PORTERO ELÉCTRICO EN EDIFICIO (AUDIO SOLO) MULTIFAMILIAR")</f>
        <v>COLOCACIÓN DE PORTERO ELÉCTRICO EN EDIFICIO (AUDIO SOLO) MULTIFAMILIAR</v>
      </c>
      <c r="N445" s="98" t="str">
        <f>IFERROR(__xludf.DUMMYFUNCTION("""COMPUTED_VALUE"""),"COLOCACIÓN DE PORTERO ELÉCTRICO EN EDIFICIO (AUDIO SOLO) MULTIFAMILIAR")</f>
        <v>COLOCACIÓN DE PORTERO ELÉCTRICO EN EDIFICIO (AUDIO SOLO) MULTIFAMILIAR</v>
      </c>
      <c r="O445" s="98" t="str">
        <f>IFERROR(__xludf.DUMMYFUNCTION("""COMPUTED_VALUE"""),"COLOCACIÓN DE PORTERO ELÉCTRICO EN EDIFICIO (AUDIO SOLO) MULTIFAMILIAR")</f>
        <v>COLOCACIÓN DE PORTERO ELÉCTRICO EN EDIFICIO (AUDIO SOLO) MULTIFAMILIAR</v>
      </c>
      <c r="P445" s="98" t="str">
        <f>IFERROR(__xludf.DUMMYFUNCTION("""COMPUTED_VALUE"""),"COLOCACIÓN DE PORTERO ELÉCTRICO EN EDIFICIO (AUDIO SOLO) MULTIFAMILIAR")</f>
        <v>COLOCACIÓN DE PORTERO ELÉCTRICO EN EDIFICIO (AUDIO SOLO) MULTIFAMILIAR</v>
      </c>
      <c r="Q445" s="98" t="str">
        <f>IFERROR(__xludf.DUMMYFUNCTION("""COMPUTED_VALUE"""),"COLOCACIÓN DE PORTERO ELÉCTRICO EN EDIFICIO (AUDIO SOLO) MULTIFAMILIAR")</f>
        <v>COLOCACIÓN DE PORTERO ELÉCTRICO EN EDIFICIO (AUDIO SOLO) MULTIFAMILIAR</v>
      </c>
      <c r="R445" s="98" t="str">
        <f>IFERROR(__xludf.DUMMYFUNCTION("""COMPUTED_VALUE"""),"COLOCACIÓN DE PORTERO ELÉCTRICO EN EDIFICIO (AUDIO SOLO) MULTIFAMILIAR")</f>
        <v>COLOCACIÓN DE PORTERO ELÉCTRICO EN EDIFICIO (AUDIO SOLO) MULTIFAMILIAR</v>
      </c>
      <c r="S445" s="98" t="str">
        <f>IFERROR(__xludf.DUMMYFUNCTION("""COMPUTED_VALUE"""),"COLOCACIÓN DE PORTERO ELÉCTRICO EN EDIFICIO (AUDIO SOLO) MULTIFAMILIAR")</f>
        <v>COLOCACIÓN DE PORTERO ELÉCTRICO EN EDIFICIO (AUDIO SOLO) MULTIFAMILIAR</v>
      </c>
      <c r="T445" s="98" t="str">
        <f>IFERROR(__xludf.DUMMYFUNCTION("""COMPUTED_VALUE"""),"COLOCACIÓN DE PORTERO ELÉCTRICO EN EDIFICIO (AUDIO SOLO) MULTIFAMILIAR")</f>
        <v>COLOCACIÓN DE PORTERO ELÉCTRICO EN EDIFICIO (AUDIO SOLO) MULTIFAMILIAR</v>
      </c>
      <c r="U445" s="98" t="str">
        <f>IFERROR(__xludf.DUMMYFUNCTION("""COMPUTED_VALUE"""),"COLOCACIÓN DE PORTERO ELÉCTRICO EN EDIFICIO (AUDIO SOLO) MULTIFAMILIAR")</f>
        <v>COLOCACIÓN DE PORTERO ELÉCTRICO EN EDIFICIO (AUDIO SOLO) MULTIFAMILIAR</v>
      </c>
    </row>
    <row r="446" ht="15.75" customHeight="1">
      <c r="E446" s="98" t="str">
        <f>IFERROR(__xludf.DUMMYFUNCTION("""COMPUTED_VALUE"""),"SISTEMAS DE SEGURIDAD")</f>
        <v>SISTEMAS DE SEGURIDAD</v>
      </c>
      <c r="F446" s="98" t="str">
        <f>IFERROR(__xludf.DUMMYFUNCTION("""COMPUTED_VALUE"""),"SISTEMAS DE SEGURIDAD")</f>
        <v>SISTEMAS DE SEGURIDAD</v>
      </c>
      <c r="G446" s="98" t="str">
        <f>IFERROR(__xludf.DUMMYFUNCTION("""COMPUTED_VALUE"""),"SISTEMAS DE SEGURIDAD")</f>
        <v>SISTEMAS DE SEGURIDAD</v>
      </c>
      <c r="H446" s="98" t="str">
        <f>IFERROR(__xludf.DUMMYFUNCTION("""COMPUTED_VALUE"""),"SISTEMAS DE SEGURIDAD")</f>
        <v>SISTEMAS DE SEGURIDAD</v>
      </c>
      <c r="I446" s="98" t="str">
        <f>IFERROR(__xludf.DUMMYFUNCTION("""COMPUTED_VALUE"""),"SISTEMAS DE SEGURIDAD")</f>
        <v>SISTEMAS DE SEGURIDAD</v>
      </c>
      <c r="J446" s="98" t="str">
        <f>IFERROR(__xludf.DUMMYFUNCTION("""COMPUTED_VALUE"""),"SISTEMAS DE SEGURIDAD")</f>
        <v>SISTEMAS DE SEGURIDAD</v>
      </c>
      <c r="K446" s="98" t="str">
        <f>IFERROR(__xludf.DUMMYFUNCTION("""COMPUTED_VALUE"""),"SISTEMAS DE SEGURIDAD")</f>
        <v>SISTEMAS DE SEGURIDAD</v>
      </c>
      <c r="L446" s="98" t="str">
        <f>IFERROR(__xludf.DUMMYFUNCTION("""COMPUTED_VALUE"""),"SISTEMAS DE SEGURIDAD")</f>
        <v>SISTEMAS DE SEGURIDAD</v>
      </c>
      <c r="M446" s="98" t="str">
        <f>IFERROR(__xludf.DUMMYFUNCTION("""COMPUTED_VALUE"""),"SISTEMAS DE SEGURIDAD")</f>
        <v>SISTEMAS DE SEGURIDAD</v>
      </c>
      <c r="N446" s="98" t="str">
        <f>IFERROR(__xludf.DUMMYFUNCTION("""COMPUTED_VALUE"""),"SISTEMAS DE SEGURIDAD")</f>
        <v>SISTEMAS DE SEGURIDAD</v>
      </c>
      <c r="O446" s="98" t="str">
        <f>IFERROR(__xludf.DUMMYFUNCTION("""COMPUTED_VALUE"""),"SISTEMAS DE SEGURIDAD")</f>
        <v>SISTEMAS DE SEGURIDAD</v>
      </c>
      <c r="P446" s="98" t="str">
        <f>IFERROR(__xludf.DUMMYFUNCTION("""COMPUTED_VALUE"""),"SISTEMAS DE SEGURIDAD")</f>
        <v>SISTEMAS DE SEGURIDAD</v>
      </c>
      <c r="Q446" s="98" t="str">
        <f>IFERROR(__xludf.DUMMYFUNCTION("""COMPUTED_VALUE"""),"SISTEMAS DE SEGURIDAD")</f>
        <v>SISTEMAS DE SEGURIDAD</v>
      </c>
      <c r="R446" s="98" t="str">
        <f>IFERROR(__xludf.DUMMYFUNCTION("""COMPUTED_VALUE"""),"SISTEMAS DE SEGURIDAD")</f>
        <v>SISTEMAS DE SEGURIDAD</v>
      </c>
      <c r="S446" s="98" t="str">
        <f>IFERROR(__xludf.DUMMYFUNCTION("""COMPUTED_VALUE"""),"SISTEMAS DE SEGURIDAD")</f>
        <v>SISTEMAS DE SEGURIDAD</v>
      </c>
      <c r="T446" s="98" t="str">
        <f>IFERROR(__xludf.DUMMYFUNCTION("""COMPUTED_VALUE"""),"SISTEMAS DE SEGURIDAD")</f>
        <v>SISTEMAS DE SEGURIDAD</v>
      </c>
      <c r="U446" s="98" t="str">
        <f>IFERROR(__xludf.DUMMYFUNCTION("""COMPUTED_VALUE"""),"SISTEMAS DE SEGURIDAD")</f>
        <v>SISTEMAS DE SEGURIDAD</v>
      </c>
    </row>
    <row r="447" ht="15.75" customHeight="1">
      <c r="E447" s="98" t="str">
        <f>IFERROR(__xludf.DUMMYFUNCTION("""COMPUTED_VALUE"""),"VARIOS CORRIENTES DÉBILES ")</f>
        <v>VARIOS CORRIENTES DÉBILES </v>
      </c>
      <c r="F447" s="98" t="str">
        <f>IFERROR(__xludf.DUMMYFUNCTION("""COMPUTED_VALUE"""),"VARIOS CORRIENTES DÉBILES ")</f>
        <v>VARIOS CORRIENTES DÉBILES </v>
      </c>
      <c r="G447" s="98" t="str">
        <f>IFERROR(__xludf.DUMMYFUNCTION("""COMPUTED_VALUE"""),"VARIOS CORRIENTES DÉBILES ")</f>
        <v>VARIOS CORRIENTES DÉBILES </v>
      </c>
      <c r="H447" s="98" t="str">
        <f>IFERROR(__xludf.DUMMYFUNCTION("""COMPUTED_VALUE"""),"VARIOS CORRIENTES DÉBILES ")</f>
        <v>VARIOS CORRIENTES DÉBILES </v>
      </c>
      <c r="I447" s="98" t="str">
        <f>IFERROR(__xludf.DUMMYFUNCTION("""COMPUTED_VALUE"""),"VARIOS CORRIENTES DÉBILES ")</f>
        <v>VARIOS CORRIENTES DÉBILES </v>
      </c>
      <c r="J447" s="98" t="str">
        <f>IFERROR(__xludf.DUMMYFUNCTION("""COMPUTED_VALUE"""),"VARIOS CORRIENTES DÉBILES ")</f>
        <v>VARIOS CORRIENTES DÉBILES </v>
      </c>
      <c r="K447" s="98" t="str">
        <f>IFERROR(__xludf.DUMMYFUNCTION("""COMPUTED_VALUE"""),"VARIOS CORRIENTES DÉBILES ")</f>
        <v>VARIOS CORRIENTES DÉBILES </v>
      </c>
      <c r="L447" s="98" t="str">
        <f>IFERROR(__xludf.DUMMYFUNCTION("""COMPUTED_VALUE"""),"VARIOS CORRIENTES DÉBILES ")</f>
        <v>VARIOS CORRIENTES DÉBILES </v>
      </c>
      <c r="M447" s="98" t="str">
        <f>IFERROR(__xludf.DUMMYFUNCTION("""COMPUTED_VALUE"""),"VARIOS CORRIENTES DÉBILES ")</f>
        <v>VARIOS CORRIENTES DÉBILES </v>
      </c>
      <c r="N447" s="98" t="str">
        <f>IFERROR(__xludf.DUMMYFUNCTION("""COMPUTED_VALUE"""),"VARIOS CORRIENTES DÉBILES ")</f>
        <v>VARIOS CORRIENTES DÉBILES </v>
      </c>
      <c r="O447" s="98" t="str">
        <f>IFERROR(__xludf.DUMMYFUNCTION("""COMPUTED_VALUE"""),"VARIOS CORRIENTES DÉBILES ")</f>
        <v>VARIOS CORRIENTES DÉBILES </v>
      </c>
      <c r="P447" s="98" t="str">
        <f>IFERROR(__xludf.DUMMYFUNCTION("""COMPUTED_VALUE"""),"VARIOS CORRIENTES DÉBILES ")</f>
        <v>VARIOS CORRIENTES DÉBILES </v>
      </c>
      <c r="Q447" s="98" t="str">
        <f>IFERROR(__xludf.DUMMYFUNCTION("""COMPUTED_VALUE"""),"VARIOS CORRIENTES DÉBILES ")</f>
        <v>VARIOS CORRIENTES DÉBILES </v>
      </c>
      <c r="R447" s="98" t="str">
        <f>IFERROR(__xludf.DUMMYFUNCTION("""COMPUTED_VALUE"""),"VARIOS CORRIENTES DÉBILES ")</f>
        <v>VARIOS CORRIENTES DÉBILES </v>
      </c>
      <c r="S447" s="98" t="str">
        <f>IFERROR(__xludf.DUMMYFUNCTION("""COMPUTED_VALUE"""),"VARIOS CORRIENTES DÉBILES ")</f>
        <v>VARIOS CORRIENTES DÉBILES </v>
      </c>
      <c r="T447" s="98" t="str">
        <f>IFERROR(__xludf.DUMMYFUNCTION("""COMPUTED_VALUE"""),"VARIOS CORRIENTES DÉBILES ")</f>
        <v>VARIOS CORRIENTES DÉBILES </v>
      </c>
      <c r="U447" s="98" t="str">
        <f>IFERROR(__xludf.DUMMYFUNCTION("""COMPUTED_VALUE"""),"VARIOS CORRIENTES DÉBILES ")</f>
        <v>VARIOS CORRIENTES DÉBILES </v>
      </c>
    </row>
    <row r="448" ht="15.75" customHeight="1">
      <c r="E448" s="98" t="str">
        <f>IFERROR(__xludf.DUMMYFUNCTION("""COMPUTED_VALUE"""),"COMPUESTO DE INSTALACONES EMBUTIDAS")</f>
        <v>COMPUESTO DE INSTALACONES EMBUTIDAS</v>
      </c>
      <c r="F448" s="98" t="str">
        <f>IFERROR(__xludf.DUMMYFUNCTION("""COMPUTED_VALUE"""),"COMPUESTO DE INSTALACONES EMBUTIDAS")</f>
        <v>COMPUESTO DE INSTALACONES EMBUTIDAS</v>
      </c>
      <c r="G448" s="98" t="str">
        <f>IFERROR(__xludf.DUMMYFUNCTION("""COMPUTED_VALUE"""),"COMPUESTO DE INSTALACONES EMBUTIDAS")</f>
        <v>COMPUESTO DE INSTALACONES EMBUTIDAS</v>
      </c>
      <c r="H448" s="98" t="str">
        <f>IFERROR(__xludf.DUMMYFUNCTION("""COMPUTED_VALUE"""),"COMPUESTO DE INSTALACONES EMBUTIDAS")</f>
        <v>COMPUESTO DE INSTALACONES EMBUTIDAS</v>
      </c>
      <c r="I448" s="98" t="str">
        <f>IFERROR(__xludf.DUMMYFUNCTION("""COMPUTED_VALUE"""),"COMPUESTO DE INSTALACONES EMBUTIDAS")</f>
        <v>COMPUESTO DE INSTALACONES EMBUTIDAS</v>
      </c>
      <c r="J448" s="98" t="str">
        <f>IFERROR(__xludf.DUMMYFUNCTION("""COMPUTED_VALUE"""),"COMPUESTO DE INSTALACONES EMBUTIDAS")</f>
        <v>COMPUESTO DE INSTALACONES EMBUTIDAS</v>
      </c>
      <c r="K448" s="98" t="str">
        <f>IFERROR(__xludf.DUMMYFUNCTION("""COMPUTED_VALUE"""),"COMPUESTO DE INSTALACONES EMBUTIDAS")</f>
        <v>COMPUESTO DE INSTALACONES EMBUTIDAS</v>
      </c>
      <c r="L448" s="98" t="str">
        <f>IFERROR(__xludf.DUMMYFUNCTION("""COMPUTED_VALUE"""),"COMPUESTO DE INSTALACONES EMBUTIDAS")</f>
        <v>COMPUESTO DE INSTALACONES EMBUTIDAS</v>
      </c>
      <c r="M448" s="98" t="str">
        <f>IFERROR(__xludf.DUMMYFUNCTION("""COMPUTED_VALUE"""),"COMPUESTO DE INSTALACONES EMBUTIDAS")</f>
        <v>COMPUESTO DE INSTALACONES EMBUTIDAS</v>
      </c>
      <c r="N448" s="98" t="str">
        <f>IFERROR(__xludf.DUMMYFUNCTION("""COMPUTED_VALUE"""),"COMPUESTO DE INSTALACONES EMBUTIDAS")</f>
        <v>COMPUESTO DE INSTALACONES EMBUTIDAS</v>
      </c>
      <c r="O448" s="98" t="str">
        <f>IFERROR(__xludf.DUMMYFUNCTION("""COMPUTED_VALUE"""),"COMPUESTO DE INSTALACONES EMBUTIDAS")</f>
        <v>COMPUESTO DE INSTALACONES EMBUTIDAS</v>
      </c>
      <c r="P448" s="98" t="str">
        <f>IFERROR(__xludf.DUMMYFUNCTION("""COMPUTED_VALUE"""),"COMPUESTO DE INSTALACONES EMBUTIDAS")</f>
        <v>COMPUESTO DE INSTALACONES EMBUTIDAS</v>
      </c>
      <c r="Q448" s="98" t="str">
        <f>IFERROR(__xludf.DUMMYFUNCTION("""COMPUTED_VALUE"""),"COMPUESTO DE INSTALACONES EMBUTIDAS")</f>
        <v>COMPUESTO DE INSTALACONES EMBUTIDAS</v>
      </c>
      <c r="R448" s="98" t="str">
        <f>IFERROR(__xludf.DUMMYFUNCTION("""COMPUTED_VALUE"""),"COMPUESTO DE INSTALACONES EMBUTIDAS")</f>
        <v>COMPUESTO DE INSTALACONES EMBUTIDAS</v>
      </c>
      <c r="S448" s="98" t="str">
        <f>IFERROR(__xludf.DUMMYFUNCTION("""COMPUTED_VALUE"""),"COMPUESTO DE INSTALACONES EMBUTIDAS")</f>
        <v>COMPUESTO DE INSTALACONES EMBUTIDAS</v>
      </c>
      <c r="T448" s="98" t="str">
        <f>IFERROR(__xludf.DUMMYFUNCTION("""COMPUTED_VALUE"""),"COMPUESTO DE INSTALACONES EMBUTIDAS")</f>
        <v>COMPUESTO DE INSTALACONES EMBUTIDAS</v>
      </c>
      <c r="U448" s="98" t="str">
        <f>IFERROR(__xludf.DUMMYFUNCTION("""COMPUTED_VALUE"""),"COMPUESTO DE INSTALACONES EMBUTIDAS")</f>
        <v>COMPUESTO DE INSTALACONES EMBUTIDAS</v>
      </c>
    </row>
    <row r="449" ht="15.75" customHeight="1">
      <c r="E449" s="98" t="str">
        <f>IFERROR(__xludf.DUMMYFUNCTION("""COMPUTED_VALUE"""),"COMPUESTO DE CANALIZACIÓN EXTERIOR ")</f>
        <v>COMPUESTO DE CANALIZACIÓN EXTERIOR </v>
      </c>
      <c r="F449" s="98" t="str">
        <f>IFERROR(__xludf.DUMMYFUNCTION("""COMPUTED_VALUE"""),"COMPUESTO DE CANALIZACIÓN EXTERIOR ")</f>
        <v>COMPUESTO DE CANALIZACIÓN EXTERIOR </v>
      </c>
      <c r="G449" s="98" t="str">
        <f>IFERROR(__xludf.DUMMYFUNCTION("""COMPUTED_VALUE"""),"COMPUESTO DE CANALIZACIÓN EXTERIOR ")</f>
        <v>COMPUESTO DE CANALIZACIÓN EXTERIOR </v>
      </c>
      <c r="H449" s="98" t="str">
        <f>IFERROR(__xludf.DUMMYFUNCTION("""COMPUTED_VALUE"""),"COMPUESTO DE CANALIZACIÓN EXTERIOR ")</f>
        <v>COMPUESTO DE CANALIZACIÓN EXTERIOR </v>
      </c>
      <c r="I449" s="98" t="str">
        <f>IFERROR(__xludf.DUMMYFUNCTION("""COMPUTED_VALUE"""),"COMPUESTO DE CANALIZACIÓN EXTERIOR ")</f>
        <v>COMPUESTO DE CANALIZACIÓN EXTERIOR </v>
      </c>
      <c r="J449" s="98" t="str">
        <f>IFERROR(__xludf.DUMMYFUNCTION("""COMPUTED_VALUE"""),"COMPUESTO DE CANALIZACIÓN EXTERIOR ")</f>
        <v>COMPUESTO DE CANALIZACIÓN EXTERIOR </v>
      </c>
      <c r="K449" s="98" t="str">
        <f>IFERROR(__xludf.DUMMYFUNCTION("""COMPUTED_VALUE"""),"COMPUESTO DE CANALIZACIÓN EXTERIOR ")</f>
        <v>COMPUESTO DE CANALIZACIÓN EXTERIOR </v>
      </c>
      <c r="L449" s="98" t="str">
        <f>IFERROR(__xludf.DUMMYFUNCTION("""COMPUTED_VALUE"""),"COMPUESTO DE CANALIZACIÓN EXTERIOR ")</f>
        <v>COMPUESTO DE CANALIZACIÓN EXTERIOR </v>
      </c>
      <c r="M449" s="98" t="str">
        <f>IFERROR(__xludf.DUMMYFUNCTION("""COMPUTED_VALUE"""),"COMPUESTO DE CANALIZACIÓN EXTERIOR ")</f>
        <v>COMPUESTO DE CANALIZACIÓN EXTERIOR </v>
      </c>
      <c r="N449" s="98" t="str">
        <f>IFERROR(__xludf.DUMMYFUNCTION("""COMPUTED_VALUE"""),"COMPUESTO DE CANALIZACIÓN EXTERIOR ")</f>
        <v>COMPUESTO DE CANALIZACIÓN EXTERIOR </v>
      </c>
      <c r="O449" s="98" t="str">
        <f>IFERROR(__xludf.DUMMYFUNCTION("""COMPUTED_VALUE"""),"COMPUESTO DE CANALIZACIÓN EXTERIOR ")</f>
        <v>COMPUESTO DE CANALIZACIÓN EXTERIOR </v>
      </c>
      <c r="P449" s="98" t="str">
        <f>IFERROR(__xludf.DUMMYFUNCTION("""COMPUTED_VALUE"""),"COMPUESTO DE CANALIZACIÓN EXTERIOR ")</f>
        <v>COMPUESTO DE CANALIZACIÓN EXTERIOR </v>
      </c>
      <c r="Q449" s="98" t="str">
        <f>IFERROR(__xludf.DUMMYFUNCTION("""COMPUTED_VALUE"""),"COMPUESTO DE CANALIZACIÓN EXTERIOR ")</f>
        <v>COMPUESTO DE CANALIZACIÓN EXTERIOR </v>
      </c>
      <c r="R449" s="98" t="str">
        <f>IFERROR(__xludf.DUMMYFUNCTION("""COMPUTED_VALUE"""),"COMPUESTO DE CANALIZACIÓN EXTERIOR ")</f>
        <v>COMPUESTO DE CANALIZACIÓN EXTERIOR </v>
      </c>
      <c r="S449" s="98" t="str">
        <f>IFERROR(__xludf.DUMMYFUNCTION("""COMPUTED_VALUE"""),"COMPUESTO DE CANALIZACIÓN EXTERIOR ")</f>
        <v>COMPUESTO DE CANALIZACIÓN EXTERIOR </v>
      </c>
      <c r="T449" s="98" t="str">
        <f>IFERROR(__xludf.DUMMYFUNCTION("""COMPUTED_VALUE"""),"COMPUESTO DE CANALIZACIÓN EXTERIOR ")</f>
        <v>COMPUESTO DE CANALIZACIÓN EXTERIOR </v>
      </c>
      <c r="U449" s="98" t="str">
        <f>IFERROR(__xludf.DUMMYFUNCTION("""COMPUTED_VALUE"""),"COMPUESTO DE CANALIZACIÓN EXTERIOR ")</f>
        <v>COMPUESTO DE CANALIZACIÓN EXTERIOR </v>
      </c>
    </row>
    <row r="450" ht="15.75" customHeight="1">
      <c r="E450" s="98" t="str">
        <f>IFERROR(__xludf.DUMMYFUNCTION("""COMPUTED_VALUE"""),"COMPUESTO DE INSTALACIONES CON CABLE CANAL")</f>
        <v>COMPUESTO DE INSTALACIONES CON CABLE CANAL</v>
      </c>
      <c r="F450" s="98" t="str">
        <f>IFERROR(__xludf.DUMMYFUNCTION("""COMPUTED_VALUE"""),"COMPUESTO DE INSTALACIONES CON CABLE CANAL")</f>
        <v>COMPUESTO DE INSTALACIONES CON CABLE CANAL</v>
      </c>
      <c r="G450" s="98" t="str">
        <f>IFERROR(__xludf.DUMMYFUNCTION("""COMPUTED_VALUE"""),"COMPUESTO DE INSTALACIONES CON CABLE CANAL")</f>
        <v>COMPUESTO DE INSTALACIONES CON CABLE CANAL</v>
      </c>
      <c r="H450" s="98" t="str">
        <f>IFERROR(__xludf.DUMMYFUNCTION("""COMPUTED_VALUE"""),"COMPUESTO DE INSTALACIONES CON CABLE CANAL")</f>
        <v>COMPUESTO DE INSTALACIONES CON CABLE CANAL</v>
      </c>
      <c r="I450" s="98" t="str">
        <f>IFERROR(__xludf.DUMMYFUNCTION("""COMPUTED_VALUE"""),"COMPUESTO DE INSTALACIONES CON CABLE CANAL")</f>
        <v>COMPUESTO DE INSTALACIONES CON CABLE CANAL</v>
      </c>
      <c r="J450" s="98" t="str">
        <f>IFERROR(__xludf.DUMMYFUNCTION("""COMPUTED_VALUE"""),"COMPUESTO DE INSTALACIONES CON CABLE CANAL")</f>
        <v>COMPUESTO DE INSTALACIONES CON CABLE CANAL</v>
      </c>
      <c r="K450" s="98" t="str">
        <f>IFERROR(__xludf.DUMMYFUNCTION("""COMPUTED_VALUE"""),"COMPUESTO DE INSTALACIONES CON CABLE CANAL")</f>
        <v>COMPUESTO DE INSTALACIONES CON CABLE CANAL</v>
      </c>
      <c r="L450" s="98" t="str">
        <f>IFERROR(__xludf.DUMMYFUNCTION("""COMPUTED_VALUE"""),"COMPUESTO DE INSTALACIONES CON CABLE CANAL")</f>
        <v>COMPUESTO DE INSTALACIONES CON CABLE CANAL</v>
      </c>
      <c r="M450" s="98" t="str">
        <f>IFERROR(__xludf.DUMMYFUNCTION("""COMPUTED_VALUE"""),"COMPUESTO DE INSTALACIONES CON CABLE CANAL")</f>
        <v>COMPUESTO DE INSTALACIONES CON CABLE CANAL</v>
      </c>
      <c r="N450" s="98" t="str">
        <f>IFERROR(__xludf.DUMMYFUNCTION("""COMPUTED_VALUE"""),"COMPUESTO DE INSTALACIONES CON CABLE CANAL")</f>
        <v>COMPUESTO DE INSTALACIONES CON CABLE CANAL</v>
      </c>
      <c r="O450" s="98" t="str">
        <f>IFERROR(__xludf.DUMMYFUNCTION("""COMPUTED_VALUE"""),"COMPUESTO DE INSTALACIONES CON CABLE CANAL")</f>
        <v>COMPUESTO DE INSTALACIONES CON CABLE CANAL</v>
      </c>
      <c r="P450" s="98" t="str">
        <f>IFERROR(__xludf.DUMMYFUNCTION("""COMPUTED_VALUE"""),"COMPUESTO DE INSTALACIONES CON CABLE CANAL")</f>
        <v>COMPUESTO DE INSTALACIONES CON CABLE CANAL</v>
      </c>
      <c r="Q450" s="98" t="str">
        <f>IFERROR(__xludf.DUMMYFUNCTION("""COMPUTED_VALUE"""),"COMPUESTO DE INSTALACIONES CON CABLE CANAL")</f>
        <v>COMPUESTO DE INSTALACIONES CON CABLE CANAL</v>
      </c>
      <c r="R450" s="98" t="str">
        <f>IFERROR(__xludf.DUMMYFUNCTION("""COMPUTED_VALUE"""),"COMPUESTO DE INSTALACIONES CON CABLE CANAL")</f>
        <v>COMPUESTO DE INSTALACIONES CON CABLE CANAL</v>
      </c>
      <c r="S450" s="98" t="str">
        <f>IFERROR(__xludf.DUMMYFUNCTION("""COMPUTED_VALUE"""),"COMPUESTO DE INSTALACIONES CON CABLE CANAL")</f>
        <v>COMPUESTO DE INSTALACIONES CON CABLE CANAL</v>
      </c>
      <c r="T450" s="98" t="str">
        <f>IFERROR(__xludf.DUMMYFUNCTION("""COMPUTED_VALUE"""),"COMPUESTO DE INSTALACIONES CON CABLE CANAL")</f>
        <v>COMPUESTO DE INSTALACIONES CON CABLE CANAL</v>
      </c>
      <c r="U450" s="98" t="str">
        <f>IFERROR(__xludf.DUMMYFUNCTION("""COMPUTED_VALUE"""),"COMPUESTO DE INSTALACIONES CON CABLE CANAL")</f>
        <v>COMPUESTO DE INSTALACIONES CON CABLE CANAL</v>
      </c>
    </row>
    <row r="451" ht="15.75" customHeight="1">
      <c r="E451" s="98" t="str">
        <f>IFERROR(__xludf.DUMMYFUNCTION("""COMPUTED_VALUE"""),"COMPUESTO ACOMETIDA")</f>
        <v>COMPUESTO ACOMETIDA</v>
      </c>
      <c r="F451" s="98" t="str">
        <f>IFERROR(__xludf.DUMMYFUNCTION("""COMPUTED_VALUE"""),"COMPUESTO ACOMETIDA")</f>
        <v>COMPUESTO ACOMETIDA</v>
      </c>
      <c r="G451" s="98" t="str">
        <f>IFERROR(__xludf.DUMMYFUNCTION("""COMPUTED_VALUE"""),"COMPUESTO ACOMETIDA")</f>
        <v>COMPUESTO ACOMETIDA</v>
      </c>
      <c r="H451" s="98" t="str">
        <f>IFERROR(__xludf.DUMMYFUNCTION("""COMPUTED_VALUE"""),"COMPUESTO ACOMETIDA")</f>
        <v>COMPUESTO ACOMETIDA</v>
      </c>
      <c r="I451" s="98" t="str">
        <f>IFERROR(__xludf.DUMMYFUNCTION("""COMPUTED_VALUE"""),"COMPUESTO ACOMETIDA")</f>
        <v>COMPUESTO ACOMETIDA</v>
      </c>
      <c r="J451" s="98" t="str">
        <f>IFERROR(__xludf.DUMMYFUNCTION("""COMPUTED_VALUE"""),"COMPUESTO ACOMETIDA")</f>
        <v>COMPUESTO ACOMETIDA</v>
      </c>
      <c r="K451" s="98" t="str">
        <f>IFERROR(__xludf.DUMMYFUNCTION("""COMPUTED_VALUE"""),"COMPUESTO ACOMETIDA")</f>
        <v>COMPUESTO ACOMETIDA</v>
      </c>
      <c r="L451" s="98" t="str">
        <f>IFERROR(__xludf.DUMMYFUNCTION("""COMPUTED_VALUE"""),"COMPUESTO ACOMETIDA")</f>
        <v>COMPUESTO ACOMETIDA</v>
      </c>
      <c r="M451" s="98" t="str">
        <f>IFERROR(__xludf.DUMMYFUNCTION("""COMPUTED_VALUE"""),"COMPUESTO ACOMETIDA")</f>
        <v>COMPUESTO ACOMETIDA</v>
      </c>
      <c r="N451" s="98" t="str">
        <f>IFERROR(__xludf.DUMMYFUNCTION("""COMPUTED_VALUE"""),"COMPUESTO ACOMETIDA")</f>
        <v>COMPUESTO ACOMETIDA</v>
      </c>
      <c r="O451" s="98" t="str">
        <f>IFERROR(__xludf.DUMMYFUNCTION("""COMPUTED_VALUE"""),"COMPUESTO ACOMETIDA")</f>
        <v>COMPUESTO ACOMETIDA</v>
      </c>
      <c r="P451" s="98" t="str">
        <f>IFERROR(__xludf.DUMMYFUNCTION("""COMPUTED_VALUE"""),"COMPUESTO ACOMETIDA")</f>
        <v>COMPUESTO ACOMETIDA</v>
      </c>
      <c r="Q451" s="98" t="str">
        <f>IFERROR(__xludf.DUMMYFUNCTION("""COMPUTED_VALUE"""),"COMPUESTO ACOMETIDA")</f>
        <v>COMPUESTO ACOMETIDA</v>
      </c>
      <c r="R451" s="98" t="str">
        <f>IFERROR(__xludf.DUMMYFUNCTION("""COMPUTED_VALUE"""),"COMPUESTO ACOMETIDA")</f>
        <v>COMPUESTO ACOMETIDA</v>
      </c>
      <c r="S451" s="98" t="str">
        <f>IFERROR(__xludf.DUMMYFUNCTION("""COMPUTED_VALUE"""),"COMPUESTO ACOMETIDA")</f>
        <v>COMPUESTO ACOMETIDA</v>
      </c>
      <c r="T451" s="98" t="str">
        <f>IFERROR(__xludf.DUMMYFUNCTION("""COMPUTED_VALUE"""),"COMPUESTO ACOMETIDA")</f>
        <v>COMPUESTO ACOMETIDA</v>
      </c>
      <c r="U451" s="98" t="str">
        <f>IFERROR(__xludf.DUMMYFUNCTION("""COMPUTED_VALUE"""),"COMPUESTO ACOMETIDA")</f>
        <v>COMPUESTO ACOMETIDA</v>
      </c>
    </row>
    <row r="452" ht="15.75" customHeight="1">
      <c r="E452" s="98" t="str">
        <f>IFERROR(__xludf.DUMMYFUNCTION("""COMPUTED_VALUE"""),"PERSONAL CONTRATADO")</f>
        <v>PERSONAL CONTRATADO</v>
      </c>
      <c r="F452" s="98" t="str">
        <f>IFERROR(__xludf.DUMMYFUNCTION("""COMPUTED_VALUE"""),"PERSONAL CONTRATADO")</f>
        <v>PERSONAL CONTRATADO</v>
      </c>
      <c r="G452" s="98" t="str">
        <f>IFERROR(__xludf.DUMMYFUNCTION("""COMPUTED_VALUE"""),"PERSONAL CONTRATADO")</f>
        <v>PERSONAL CONTRATADO</v>
      </c>
      <c r="H452" s="98" t="str">
        <f>IFERROR(__xludf.DUMMYFUNCTION("""COMPUTED_VALUE"""),"PERSONAL CONTRATADO")</f>
        <v>PERSONAL CONTRATADO</v>
      </c>
      <c r="I452" s="98" t="str">
        <f>IFERROR(__xludf.DUMMYFUNCTION("""COMPUTED_VALUE"""),"PERSONAL CONTRATADO")</f>
        <v>PERSONAL CONTRATADO</v>
      </c>
      <c r="J452" s="98" t="str">
        <f>IFERROR(__xludf.DUMMYFUNCTION("""COMPUTED_VALUE"""),"PERSONAL CONTRATADO")</f>
        <v>PERSONAL CONTRATADO</v>
      </c>
      <c r="K452" s="98" t="str">
        <f>IFERROR(__xludf.DUMMYFUNCTION("""COMPUTED_VALUE"""),"PERSONAL CONTRATADO")</f>
        <v>PERSONAL CONTRATADO</v>
      </c>
      <c r="L452" s="98" t="str">
        <f>IFERROR(__xludf.DUMMYFUNCTION("""COMPUTED_VALUE"""),"PERSONAL CONTRATADO")</f>
        <v>PERSONAL CONTRATADO</v>
      </c>
      <c r="M452" s="98" t="str">
        <f>IFERROR(__xludf.DUMMYFUNCTION("""COMPUTED_VALUE"""),"PERSONAL CONTRATADO")</f>
        <v>PERSONAL CONTRATADO</v>
      </c>
      <c r="N452" s="98" t="str">
        <f>IFERROR(__xludf.DUMMYFUNCTION("""COMPUTED_VALUE"""),"PERSONAL CONTRATADO")</f>
        <v>PERSONAL CONTRATADO</v>
      </c>
      <c r="O452" s="98" t="str">
        <f>IFERROR(__xludf.DUMMYFUNCTION("""COMPUTED_VALUE"""),"PERSONAL CONTRATADO")</f>
        <v>PERSONAL CONTRATADO</v>
      </c>
      <c r="P452" s="98" t="str">
        <f>IFERROR(__xludf.DUMMYFUNCTION("""COMPUTED_VALUE"""),"PERSONAL CONTRATADO")</f>
        <v>PERSONAL CONTRATADO</v>
      </c>
      <c r="Q452" s="98" t="str">
        <f>IFERROR(__xludf.DUMMYFUNCTION("""COMPUTED_VALUE"""),"PERSONAL CONTRATADO")</f>
        <v>PERSONAL CONTRATADO</v>
      </c>
      <c r="R452" s="98" t="str">
        <f>IFERROR(__xludf.DUMMYFUNCTION("""COMPUTED_VALUE"""),"PERSONAL CONTRATADO")</f>
        <v>PERSONAL CONTRATADO</v>
      </c>
      <c r="S452" s="98" t="str">
        <f>IFERROR(__xludf.DUMMYFUNCTION("""COMPUTED_VALUE"""),"PERSONAL CONTRATADO")</f>
        <v>PERSONAL CONTRATADO</v>
      </c>
      <c r="T452" s="98" t="str">
        <f>IFERROR(__xludf.DUMMYFUNCTION("""COMPUTED_VALUE"""),"PERSONAL CONTRATADO")</f>
        <v>PERSONAL CONTRATADO</v>
      </c>
      <c r="U452" s="98" t="str">
        <f>IFERROR(__xludf.DUMMYFUNCTION("""COMPUTED_VALUE"""),"PERSONAL CONTRATADO")</f>
        <v>PERSONAL CONTRATADO</v>
      </c>
    </row>
    <row r="453" ht="15.75" customHeight="1">
      <c r="E453" s="98" t="str">
        <f>IFERROR(__xludf.DUMMYFUNCTION("""COMPUTED_VALUE"""),"Nueva Categoría ")</f>
        <v>Nueva Categoría </v>
      </c>
      <c r="F453" s="98" t="str">
        <f>IFERROR(__xludf.DUMMYFUNCTION("""COMPUTED_VALUE"""),"Nueva Categoría ")</f>
        <v>Nueva Categoría </v>
      </c>
      <c r="G453" s="98" t="str">
        <f>IFERROR(__xludf.DUMMYFUNCTION("""COMPUTED_VALUE"""),"Nueva Categoría ")</f>
        <v>Nueva Categoría </v>
      </c>
      <c r="H453" s="98" t="str">
        <f>IFERROR(__xludf.DUMMYFUNCTION("""COMPUTED_VALUE"""),"Nueva Categoría ")</f>
        <v>Nueva Categoría </v>
      </c>
      <c r="I453" s="98" t="str">
        <f>IFERROR(__xludf.DUMMYFUNCTION("""COMPUTED_VALUE"""),"Nueva Categoría ")</f>
        <v>Nueva Categoría </v>
      </c>
      <c r="J453" s="98" t="str">
        <f>IFERROR(__xludf.DUMMYFUNCTION("""COMPUTED_VALUE"""),"Nueva Categoría ")</f>
        <v>Nueva Categoría </v>
      </c>
      <c r="K453" s="98" t="str">
        <f>IFERROR(__xludf.DUMMYFUNCTION("""COMPUTED_VALUE"""),"Nueva Categoría ")</f>
        <v>Nueva Categoría </v>
      </c>
      <c r="L453" s="98" t="str">
        <f>IFERROR(__xludf.DUMMYFUNCTION("""COMPUTED_VALUE"""),"Nueva Categoría ")</f>
        <v>Nueva Categoría </v>
      </c>
      <c r="M453" s="98" t="str">
        <f>IFERROR(__xludf.DUMMYFUNCTION("""COMPUTED_VALUE"""),"Nueva Categoría ")</f>
        <v>Nueva Categoría </v>
      </c>
      <c r="N453" s="98" t="str">
        <f>IFERROR(__xludf.DUMMYFUNCTION("""COMPUTED_VALUE"""),"Nueva Categoría ")</f>
        <v>Nueva Categoría </v>
      </c>
      <c r="O453" s="98" t="str">
        <f>IFERROR(__xludf.DUMMYFUNCTION("""COMPUTED_VALUE"""),"Nueva Categoría ")</f>
        <v>Nueva Categoría </v>
      </c>
      <c r="P453" s="98" t="str">
        <f>IFERROR(__xludf.DUMMYFUNCTION("""COMPUTED_VALUE"""),"Nueva Categoría ")</f>
        <v>Nueva Categoría </v>
      </c>
      <c r="Q453" s="98" t="str">
        <f>IFERROR(__xludf.DUMMYFUNCTION("""COMPUTED_VALUE"""),"Nueva Categoría ")</f>
        <v>Nueva Categoría </v>
      </c>
      <c r="R453" s="98" t="str">
        <f>IFERROR(__xludf.DUMMYFUNCTION("""COMPUTED_VALUE"""),"Nueva Categoría ")</f>
        <v>Nueva Categoría </v>
      </c>
      <c r="S453" s="98" t="str">
        <f>IFERROR(__xludf.DUMMYFUNCTION("""COMPUTED_VALUE"""),"Nueva Categoría ")</f>
        <v>Nueva Categoría </v>
      </c>
      <c r="T453" s="98" t="str">
        <f>IFERROR(__xludf.DUMMYFUNCTION("""COMPUTED_VALUE"""),"Nueva Categoría ")</f>
        <v>Nueva Categoría </v>
      </c>
      <c r="U453" s="98" t="str">
        <f>IFERROR(__xludf.DUMMYFUNCTION("""COMPUTED_VALUE"""),"Nueva Categoría ")</f>
        <v>Nueva Categoría </v>
      </c>
    </row>
    <row r="454" ht="15.75" customHeight="1">
      <c r="E454" s="98" t="str">
        <f>IFERROR(__xludf.DUMMYFUNCTION("""COMPUTED_VALUE"""),"PURIFICACION (EI)")</f>
        <v>PURIFICACION (EI)</v>
      </c>
      <c r="F454" s="98" t="str">
        <f>IFERROR(__xludf.DUMMYFUNCTION("""COMPUTED_VALUE"""),"PURIFICACION (EI)")</f>
        <v>PURIFICACION (EI)</v>
      </c>
      <c r="G454" s="98" t="str">
        <f>IFERROR(__xludf.DUMMYFUNCTION("""COMPUTED_VALUE"""),"PURIFICACION (EI)")</f>
        <v>PURIFICACION (EI)</v>
      </c>
      <c r="H454" s="98" t="str">
        <f>IFERROR(__xludf.DUMMYFUNCTION("""COMPUTED_VALUE"""),"PURIFICACION (EI)")</f>
        <v>PURIFICACION (EI)</v>
      </c>
      <c r="I454" s="98" t="str">
        <f>IFERROR(__xludf.DUMMYFUNCTION("""COMPUTED_VALUE"""),"PURIFICACION (EI)")</f>
        <v>PURIFICACION (EI)</v>
      </c>
      <c r="J454" s="98" t="str">
        <f>IFERROR(__xludf.DUMMYFUNCTION("""COMPUTED_VALUE"""),"PURIFICACION (EI)")</f>
        <v>PURIFICACION (EI)</v>
      </c>
      <c r="K454" s="98" t="str">
        <f>IFERROR(__xludf.DUMMYFUNCTION("""COMPUTED_VALUE"""),"PURIFICACION (EI)")</f>
        <v>PURIFICACION (EI)</v>
      </c>
      <c r="L454" s="98" t="str">
        <f>IFERROR(__xludf.DUMMYFUNCTION("""COMPUTED_VALUE"""),"PURIFICACION (EI)")</f>
        <v>PURIFICACION (EI)</v>
      </c>
      <c r="M454" s="98" t="str">
        <f>IFERROR(__xludf.DUMMYFUNCTION("""COMPUTED_VALUE"""),"PURIFICACION (EI)")</f>
        <v>PURIFICACION (EI)</v>
      </c>
      <c r="N454" s="98" t="str">
        <f>IFERROR(__xludf.DUMMYFUNCTION("""COMPUTED_VALUE"""),"PURIFICACION (EI)")</f>
        <v>PURIFICACION (EI)</v>
      </c>
      <c r="O454" s="98" t="str">
        <f>IFERROR(__xludf.DUMMYFUNCTION("""COMPUTED_VALUE"""),"PURIFICACION (EI)")</f>
        <v>PURIFICACION (EI)</v>
      </c>
      <c r="P454" s="98" t="str">
        <f>IFERROR(__xludf.DUMMYFUNCTION("""COMPUTED_VALUE"""),"PURIFICACION (EI)")</f>
        <v>PURIFICACION (EI)</v>
      </c>
      <c r="Q454" s="98" t="str">
        <f>IFERROR(__xludf.DUMMYFUNCTION("""COMPUTED_VALUE"""),"PURIFICACION (EI)")</f>
        <v>PURIFICACION (EI)</v>
      </c>
      <c r="R454" s="98" t="str">
        <f>IFERROR(__xludf.DUMMYFUNCTION("""COMPUTED_VALUE"""),"PURIFICACION (EI)")</f>
        <v>PURIFICACION (EI)</v>
      </c>
      <c r="S454" s="98" t="str">
        <f>IFERROR(__xludf.DUMMYFUNCTION("""COMPUTED_VALUE"""),"PURIFICACION (EI)")</f>
        <v>PURIFICACION (EI)</v>
      </c>
      <c r="T454" s="98" t="str">
        <f>IFERROR(__xludf.DUMMYFUNCTION("""COMPUTED_VALUE"""),"PURIFICACION (EI)")</f>
        <v>PURIFICACION (EI)</v>
      </c>
      <c r="U454" s="98" t="str">
        <f>IFERROR(__xludf.DUMMYFUNCTION("""COMPUTED_VALUE"""),"PURIFICACION (EI)")</f>
        <v>PURIFICACION (EI)</v>
      </c>
    </row>
    <row r="455" ht="15.75" customHeight="1">
      <c r="E455" s="98" t="str">
        <f>IFERROR(__xludf.DUMMYFUNCTION("""COMPUTED_VALUE"""),"ELECTROINSTALADOR (Otros)")</f>
        <v>ELECTROINSTALADOR (Otros)</v>
      </c>
      <c r="F455" s="98" t="str">
        <f>IFERROR(__xludf.DUMMYFUNCTION("""COMPUTED_VALUE"""),"ELECTROINSTALADOR (Otros)")</f>
        <v>ELECTROINSTALADOR (Otros)</v>
      </c>
      <c r="G455" s="98" t="str">
        <f>IFERROR(__xludf.DUMMYFUNCTION("""COMPUTED_VALUE"""),"ELECTROINSTALADOR (Otros)")</f>
        <v>ELECTROINSTALADOR (Otros)</v>
      </c>
      <c r="H455" s="98" t="str">
        <f>IFERROR(__xludf.DUMMYFUNCTION("""COMPUTED_VALUE"""),"ELECTROINSTALADOR (Otros)")</f>
        <v>ELECTROINSTALADOR (Otros)</v>
      </c>
      <c r="I455" s="98" t="str">
        <f>IFERROR(__xludf.DUMMYFUNCTION("""COMPUTED_VALUE"""),"ELECTROINSTALADOR (Otros)")</f>
        <v>ELECTROINSTALADOR (Otros)</v>
      </c>
      <c r="J455" s="98" t="str">
        <f>IFERROR(__xludf.DUMMYFUNCTION("""COMPUTED_VALUE"""),"ELECTROINSTALADOR (Otros)")</f>
        <v>ELECTROINSTALADOR (Otros)</v>
      </c>
      <c r="K455" s="98" t="str">
        <f>IFERROR(__xludf.DUMMYFUNCTION("""COMPUTED_VALUE"""),"ELECTROINSTALADOR (Otros)")</f>
        <v>ELECTROINSTALADOR (Otros)</v>
      </c>
      <c r="L455" s="98" t="str">
        <f>IFERROR(__xludf.DUMMYFUNCTION("""COMPUTED_VALUE"""),"ELECTROINSTALADOR (Otros)")</f>
        <v>ELECTROINSTALADOR (Otros)</v>
      </c>
      <c r="M455" s="98" t="str">
        <f>IFERROR(__xludf.DUMMYFUNCTION("""COMPUTED_VALUE"""),"ELECTROINSTALADOR (Otros)")</f>
        <v>ELECTROINSTALADOR (Otros)</v>
      </c>
      <c r="N455" s="98" t="str">
        <f>IFERROR(__xludf.DUMMYFUNCTION("""COMPUTED_VALUE"""),"ELECTROINSTALADOR (Otros)")</f>
        <v>ELECTROINSTALADOR (Otros)</v>
      </c>
      <c r="O455" s="98" t="str">
        <f>IFERROR(__xludf.DUMMYFUNCTION("""COMPUTED_VALUE"""),"ELECTROINSTALADOR (Otros)")</f>
        <v>ELECTROINSTALADOR (Otros)</v>
      </c>
      <c r="P455" s="98" t="str">
        <f>IFERROR(__xludf.DUMMYFUNCTION("""COMPUTED_VALUE"""),"ELECTROINSTALADOR (Otros)")</f>
        <v>ELECTROINSTALADOR (Otros)</v>
      </c>
      <c r="Q455" s="98" t="str">
        <f>IFERROR(__xludf.DUMMYFUNCTION("""COMPUTED_VALUE"""),"ELECTROINSTALADOR (Otros)")</f>
        <v>ELECTROINSTALADOR (Otros)</v>
      </c>
      <c r="R455" s="98" t="str">
        <f>IFERROR(__xludf.DUMMYFUNCTION("""COMPUTED_VALUE"""),"ELECTROINSTALADOR (Otros)")</f>
        <v>ELECTROINSTALADOR (Otros)</v>
      </c>
      <c r="S455" s="98" t="str">
        <f>IFERROR(__xludf.DUMMYFUNCTION("""COMPUTED_VALUE"""),"ELECTROINSTALADOR (Otros)")</f>
        <v>ELECTROINSTALADOR (Otros)</v>
      </c>
      <c r="T455" s="98" t="str">
        <f>IFERROR(__xludf.DUMMYFUNCTION("""COMPUTED_VALUE"""),"ELECTROINSTALADOR (Otros)")</f>
        <v>ELECTROINSTALADOR (Otros)</v>
      </c>
      <c r="U455" s="98" t="str">
        <f>IFERROR(__xludf.DUMMYFUNCTION("""COMPUTED_VALUE"""),"ELECTROINSTALADOR (Otros)")</f>
        <v>ELECTROINSTALADOR (Otros)</v>
      </c>
    </row>
    <row r="456" ht="15.75" customHeight="1">
      <c r="E456" s="98"/>
      <c r="F456" s="98"/>
      <c r="G456" s="98"/>
      <c r="H456" s="98"/>
      <c r="I456" s="98"/>
      <c r="J456" s="98"/>
      <c r="K456" s="98"/>
      <c r="L456" s="98"/>
      <c r="M456" s="98"/>
      <c r="N456" s="98"/>
      <c r="O456" s="98"/>
      <c r="P456" s="98"/>
      <c r="Q456" s="98"/>
      <c r="R456" s="98"/>
      <c r="S456" s="98"/>
      <c r="T456" s="98"/>
      <c r="U456" s="98"/>
    </row>
    <row r="457" ht="15.75" customHeight="1">
      <c r="E457" s="98" t="str">
        <f>IFERROR(__xludf.DUMMYFUNCTION("""COMPUTED_VALUE"""),"Obra completa - Refacción - Ampliación (*) (AAIERIC)")</f>
        <v>Obra completa - Refacción - Ampliación (*) (AAIERIC)</v>
      </c>
      <c r="F457" s="98" t="str">
        <f>IFERROR(__xludf.DUMMYFUNCTION("""COMPUTED_VALUE"""),"Obra completa - Refacción - Ampliación (*) (AAIERIC)")</f>
        <v>Obra completa - Refacción - Ampliación (*) (AAIERIC)</v>
      </c>
      <c r="G457" s="98" t="str">
        <f>IFERROR(__xludf.DUMMYFUNCTION("""COMPUTED_VALUE"""),"Obra completa - Refacción - Ampliación (*) (AAIERIC)")</f>
        <v>Obra completa - Refacción - Ampliación (*) (AAIERIC)</v>
      </c>
      <c r="H457" s="98" t="str">
        <f>IFERROR(__xludf.DUMMYFUNCTION("""COMPUTED_VALUE"""),"Obra completa - Refacción - Ampliación (*) (AAIERIC)")</f>
        <v>Obra completa - Refacción - Ampliación (*) (AAIERIC)</v>
      </c>
      <c r="I457" s="98" t="str">
        <f>IFERROR(__xludf.DUMMYFUNCTION("""COMPUTED_VALUE"""),"Obra completa - Refacción - Ampliación (*) (AAIERIC)")</f>
        <v>Obra completa - Refacción - Ampliación (*) (AAIERIC)</v>
      </c>
      <c r="J457" s="98" t="str">
        <f>IFERROR(__xludf.DUMMYFUNCTION("""COMPUTED_VALUE"""),"Obra completa - Refacción - Ampliación (*) (AAIERIC)")</f>
        <v>Obra completa - Refacción - Ampliación (*) (AAIERIC)</v>
      </c>
      <c r="K457" s="98" t="str">
        <f>IFERROR(__xludf.DUMMYFUNCTION("""COMPUTED_VALUE"""),"Obra completa - Refacción - Ampliación (*) (AAIERIC)")</f>
        <v>Obra completa - Refacción - Ampliación (*) (AAIERIC)</v>
      </c>
      <c r="L457" s="98" t="str">
        <f>IFERROR(__xludf.DUMMYFUNCTION("""COMPUTED_VALUE"""),"Obra completa - Refacción - Ampliación (*) (AAIERIC)")</f>
        <v>Obra completa - Refacción - Ampliación (*) (AAIERIC)</v>
      </c>
      <c r="M457" s="98" t="str">
        <f>IFERROR(__xludf.DUMMYFUNCTION("""COMPUTED_VALUE"""),"Obra completa - Refacción - Ampliación (*) (AAIERIC)")</f>
        <v>Obra completa - Refacción - Ampliación (*) (AAIERIC)</v>
      </c>
      <c r="N457" s="98" t="str">
        <f>IFERROR(__xludf.DUMMYFUNCTION("""COMPUTED_VALUE"""),"Obra completa - Refacción - Ampliación (*) (AAIERIC)")</f>
        <v>Obra completa - Refacción - Ampliación (*) (AAIERIC)</v>
      </c>
      <c r="O457" s="98" t="str">
        <f>IFERROR(__xludf.DUMMYFUNCTION("""COMPUTED_VALUE"""),"Obra completa - Refacción - Ampliación (*) (AAIERIC)")</f>
        <v>Obra completa - Refacción - Ampliación (*) (AAIERIC)</v>
      </c>
      <c r="P457" s="98" t="str">
        <f>IFERROR(__xludf.DUMMYFUNCTION("""COMPUTED_VALUE"""),"Obra completa - Refacción - Ampliación (*) (AAIERIC)")</f>
        <v>Obra completa - Refacción - Ampliación (*) (AAIERIC)</v>
      </c>
      <c r="Q457" s="98" t="str">
        <f>IFERROR(__xludf.DUMMYFUNCTION("""COMPUTED_VALUE"""),"Obra completa - Refacción - Ampliación (*) (AAIERIC)")</f>
        <v>Obra completa - Refacción - Ampliación (*) (AAIERIC)</v>
      </c>
      <c r="R457" s="98" t="str">
        <f>IFERROR(__xludf.DUMMYFUNCTION("""COMPUTED_VALUE"""),"Obra completa - Refacción - Ampliación (*) (AAIERIC)")</f>
        <v>Obra completa - Refacción - Ampliación (*) (AAIERIC)</v>
      </c>
      <c r="S457" s="98" t="str">
        <f>IFERROR(__xludf.DUMMYFUNCTION("""COMPUTED_VALUE"""),"Obra completa - Refacción - Ampliación (*) (AAIERIC)")</f>
        <v>Obra completa - Refacción - Ampliación (*) (AAIERIC)</v>
      </c>
      <c r="T457" s="98" t="str">
        <f>IFERROR(__xludf.DUMMYFUNCTION("""COMPUTED_VALUE"""),"Obra completa - Refacción - Ampliación (*) (AAIERIC)")</f>
        <v>Obra completa - Refacción - Ampliación (*) (AAIERIC)</v>
      </c>
      <c r="U457" s="98" t="str">
        <f>IFERROR(__xludf.DUMMYFUNCTION("""COMPUTED_VALUE"""),"Obra completa - Refacción - Ampliación (*) (AAIERIC)")</f>
        <v>Obra completa - Refacción - Ampliación (*) (AAIERIC)</v>
      </c>
    </row>
    <row r="458" ht="15.75" customHeight="1">
      <c r="E458" s="98" t="str">
        <f>IFERROR(__xludf.DUMMYFUNCTION("""COMPUTED_VALUE"""),"Canalización de cañería en losa")</f>
        <v>Canalización de cañería en losa</v>
      </c>
      <c r="F458" s="98" t="str">
        <f>IFERROR(__xludf.DUMMYFUNCTION("""COMPUTED_VALUE"""),"Canalización de cañería en losa")</f>
        <v>Canalización de cañería en losa</v>
      </c>
      <c r="G458" s="98" t="str">
        <f>IFERROR(__xludf.DUMMYFUNCTION("""COMPUTED_VALUE"""),"Canalización de cañería en losa")</f>
        <v>Canalización de cañería en losa</v>
      </c>
      <c r="H458" s="98" t="str">
        <f>IFERROR(__xludf.DUMMYFUNCTION("""COMPUTED_VALUE"""),"Canalización de cañería en losa")</f>
        <v>Canalización de cañería en losa</v>
      </c>
      <c r="I458" s="98" t="str">
        <f>IFERROR(__xludf.DUMMYFUNCTION("""COMPUTED_VALUE"""),"Canalización de cañería en losa")</f>
        <v>Canalización de cañería en losa</v>
      </c>
      <c r="J458" s="98" t="str">
        <f>IFERROR(__xludf.DUMMYFUNCTION("""COMPUTED_VALUE"""),"Canalización de cañería en losa")</f>
        <v>Canalización de cañería en losa</v>
      </c>
      <c r="K458" s="98" t="str">
        <f>IFERROR(__xludf.DUMMYFUNCTION("""COMPUTED_VALUE"""),"Canalización de cañería en losa")</f>
        <v>Canalización de cañería en losa</v>
      </c>
      <c r="L458" s="98" t="str">
        <f>IFERROR(__xludf.DUMMYFUNCTION("""COMPUTED_VALUE"""),"Canalización de cañería en losa")</f>
        <v>Canalización de cañería en losa</v>
      </c>
      <c r="M458" s="98" t="str">
        <f>IFERROR(__xludf.DUMMYFUNCTION("""COMPUTED_VALUE"""),"Canalización de cañería en losa")</f>
        <v>Canalización de cañería en losa</v>
      </c>
      <c r="N458" s="98" t="str">
        <f>IFERROR(__xludf.DUMMYFUNCTION("""COMPUTED_VALUE"""),"Canalización de cañería en losa")</f>
        <v>Canalización de cañería en losa</v>
      </c>
      <c r="O458" s="98" t="str">
        <f>IFERROR(__xludf.DUMMYFUNCTION("""COMPUTED_VALUE"""),"Canalización de cañería en losa")</f>
        <v>Canalización de cañería en losa</v>
      </c>
      <c r="P458" s="98" t="str">
        <f>IFERROR(__xludf.DUMMYFUNCTION("""COMPUTED_VALUE"""),"Canalización de cañería en losa")</f>
        <v>Canalización de cañería en losa</v>
      </c>
      <c r="Q458" s="98" t="str">
        <f>IFERROR(__xludf.DUMMYFUNCTION("""COMPUTED_VALUE"""),"Canalización de cañería en losa")</f>
        <v>Canalización de cañería en losa</v>
      </c>
      <c r="R458" s="98" t="str">
        <f>IFERROR(__xludf.DUMMYFUNCTION("""COMPUTED_VALUE"""),"Canalización de cañería en losa")</f>
        <v>Canalización de cañería en losa</v>
      </c>
      <c r="S458" s="98" t="str">
        <f>IFERROR(__xludf.DUMMYFUNCTION("""COMPUTED_VALUE"""),"Canalización de cañería en losa")</f>
        <v>Canalización de cañería en losa</v>
      </c>
      <c r="T458" s="98" t="str">
        <f>IFERROR(__xludf.DUMMYFUNCTION("""COMPUTED_VALUE"""),"Canalización de cañería en losa")</f>
        <v>Canalización de cañería en losa</v>
      </c>
      <c r="U458" s="98" t="str">
        <f>IFERROR(__xludf.DUMMYFUNCTION("""COMPUTED_VALUE"""),"Canalización de cañería en losa")</f>
        <v>Canalización de cañería en losa</v>
      </c>
    </row>
    <row r="459" ht="15.75" customHeight="1">
      <c r="E459" s="98" t="str">
        <f>IFERROR(__xludf.DUMMYFUNCTION("""COMPUTED_VALUE"""),"Amurado de cañeria en mampostería (AAIERIC)")</f>
        <v>Amurado de cañeria en mampostería (AAIERIC)</v>
      </c>
      <c r="F459" s="98" t="str">
        <f>IFERROR(__xludf.DUMMYFUNCTION("""COMPUTED_VALUE"""),"Amurado de cañeria en mampostería (AAIERIC)")</f>
        <v>Amurado de cañeria en mampostería (AAIERIC)</v>
      </c>
      <c r="G459" s="98" t="str">
        <f>IFERROR(__xludf.DUMMYFUNCTION("""COMPUTED_VALUE"""),"Amurado de cañeria en mampostería (AAIERIC)")</f>
        <v>Amurado de cañeria en mampostería (AAIERIC)</v>
      </c>
      <c r="H459" s="98" t="str">
        <f>IFERROR(__xludf.DUMMYFUNCTION("""COMPUTED_VALUE"""),"Amurado de cañeria en mampostería (AAIERIC)")</f>
        <v>Amurado de cañeria en mampostería (AAIERIC)</v>
      </c>
      <c r="I459" s="98" t="str">
        <f>IFERROR(__xludf.DUMMYFUNCTION("""COMPUTED_VALUE"""),"Amurado de cañeria en mampostería (AAIERIC)")</f>
        <v>Amurado de cañeria en mampostería (AAIERIC)</v>
      </c>
      <c r="J459" s="98" t="str">
        <f>IFERROR(__xludf.DUMMYFUNCTION("""COMPUTED_VALUE"""),"Amurado de cañeria en mampostería (AAIERIC)")</f>
        <v>Amurado de cañeria en mampostería (AAIERIC)</v>
      </c>
      <c r="K459" s="98" t="str">
        <f>IFERROR(__xludf.DUMMYFUNCTION("""COMPUTED_VALUE"""),"Amurado de cañeria en mampostería (AAIERIC)")</f>
        <v>Amurado de cañeria en mampostería (AAIERIC)</v>
      </c>
      <c r="L459" s="98" t="str">
        <f>IFERROR(__xludf.DUMMYFUNCTION("""COMPUTED_VALUE"""),"Amurado de cañeria en mampostería (AAIERIC)")</f>
        <v>Amurado de cañeria en mampostería (AAIERIC)</v>
      </c>
      <c r="M459" s="98" t="str">
        <f>IFERROR(__xludf.DUMMYFUNCTION("""COMPUTED_VALUE"""),"Amurado de cañeria en mampostería (AAIERIC)")</f>
        <v>Amurado de cañeria en mampostería (AAIERIC)</v>
      </c>
      <c r="N459" s="98" t="str">
        <f>IFERROR(__xludf.DUMMYFUNCTION("""COMPUTED_VALUE"""),"Amurado de cañeria en mampostería (AAIERIC)")</f>
        <v>Amurado de cañeria en mampostería (AAIERIC)</v>
      </c>
      <c r="O459" s="98" t="str">
        <f>IFERROR(__xludf.DUMMYFUNCTION("""COMPUTED_VALUE"""),"Amurado de cañeria en mampostería (AAIERIC)")</f>
        <v>Amurado de cañeria en mampostería (AAIERIC)</v>
      </c>
      <c r="P459" s="98" t="str">
        <f>IFERROR(__xludf.DUMMYFUNCTION("""COMPUTED_VALUE"""),"Amurado de cañeria en mampostería (AAIERIC)")</f>
        <v>Amurado de cañeria en mampostería (AAIERIC)</v>
      </c>
      <c r="Q459" s="98" t="str">
        <f>IFERROR(__xludf.DUMMYFUNCTION("""COMPUTED_VALUE"""),"Amurado de cañeria en mampostería (AAIERIC)")</f>
        <v>Amurado de cañeria en mampostería (AAIERIC)</v>
      </c>
      <c r="R459" s="98" t="str">
        <f>IFERROR(__xludf.DUMMYFUNCTION("""COMPUTED_VALUE"""),"Amurado de cañeria en mampostería (AAIERIC)")</f>
        <v>Amurado de cañeria en mampostería (AAIERIC)</v>
      </c>
      <c r="S459" s="98" t="str">
        <f>IFERROR(__xludf.DUMMYFUNCTION("""COMPUTED_VALUE"""),"Amurado de cañeria en mampostería (AAIERIC)")</f>
        <v>Amurado de cañeria en mampostería (AAIERIC)</v>
      </c>
      <c r="T459" s="98" t="str">
        <f>IFERROR(__xludf.DUMMYFUNCTION("""COMPUTED_VALUE"""),"Amurado de cañeria en mampostería (AAIERIC)")</f>
        <v>Amurado de cañeria en mampostería (AAIERIC)</v>
      </c>
      <c r="U459" s="98" t="str">
        <f>IFERROR(__xludf.DUMMYFUNCTION("""COMPUTED_VALUE"""),"Amurado de cañeria en mampostería (AAIERIC)")</f>
        <v>Amurado de cañeria en mampostería (AAIERIC)</v>
      </c>
    </row>
    <row r="460" ht="15.75" customHeight="1">
      <c r="E460" s="98" t="str">
        <f>IFERROR(__xludf.DUMMYFUNCTION("""COMPUTED_VALUE"""),"Amurado de cañeria a la vista")</f>
        <v>Amurado de cañeria a la vista</v>
      </c>
      <c r="F460" s="98" t="str">
        <f>IFERROR(__xludf.DUMMYFUNCTION("""COMPUTED_VALUE"""),"Amurado de cañeria a la vista")</f>
        <v>Amurado de cañeria a la vista</v>
      </c>
      <c r="G460" s="98" t="str">
        <f>IFERROR(__xludf.DUMMYFUNCTION("""COMPUTED_VALUE"""),"Amurado de cañeria a la vista")</f>
        <v>Amurado de cañeria a la vista</v>
      </c>
      <c r="H460" s="98" t="str">
        <f>IFERROR(__xludf.DUMMYFUNCTION("""COMPUTED_VALUE"""),"Amurado de cañeria a la vista")</f>
        <v>Amurado de cañeria a la vista</v>
      </c>
      <c r="I460" s="98" t="str">
        <f>IFERROR(__xludf.DUMMYFUNCTION("""COMPUTED_VALUE"""),"Amurado de cañeria a la vista")</f>
        <v>Amurado de cañeria a la vista</v>
      </c>
      <c r="J460" s="98" t="str">
        <f>IFERROR(__xludf.DUMMYFUNCTION("""COMPUTED_VALUE"""),"Amurado de cañeria a la vista")</f>
        <v>Amurado de cañeria a la vista</v>
      </c>
      <c r="K460" s="98" t="str">
        <f>IFERROR(__xludf.DUMMYFUNCTION("""COMPUTED_VALUE"""),"Amurado de cañeria a la vista")</f>
        <v>Amurado de cañeria a la vista</v>
      </c>
      <c r="L460" s="98" t="str">
        <f>IFERROR(__xludf.DUMMYFUNCTION("""COMPUTED_VALUE"""),"Amurado de cañeria a la vista")</f>
        <v>Amurado de cañeria a la vista</v>
      </c>
      <c r="M460" s="98" t="str">
        <f>IFERROR(__xludf.DUMMYFUNCTION("""COMPUTED_VALUE"""),"Amurado de cañeria a la vista")</f>
        <v>Amurado de cañeria a la vista</v>
      </c>
      <c r="N460" s="98" t="str">
        <f>IFERROR(__xludf.DUMMYFUNCTION("""COMPUTED_VALUE"""),"Amurado de cañeria a la vista")</f>
        <v>Amurado de cañeria a la vista</v>
      </c>
      <c r="O460" s="98" t="str">
        <f>IFERROR(__xludf.DUMMYFUNCTION("""COMPUTED_VALUE"""),"Amurado de cañeria a la vista")</f>
        <v>Amurado de cañeria a la vista</v>
      </c>
      <c r="P460" s="98" t="str">
        <f>IFERROR(__xludf.DUMMYFUNCTION("""COMPUTED_VALUE"""),"Amurado de cañeria a la vista")</f>
        <v>Amurado de cañeria a la vista</v>
      </c>
      <c r="Q460" s="98" t="str">
        <f>IFERROR(__xludf.DUMMYFUNCTION("""COMPUTED_VALUE"""),"Amurado de cañeria a la vista")</f>
        <v>Amurado de cañeria a la vista</v>
      </c>
      <c r="R460" s="98" t="str">
        <f>IFERROR(__xludf.DUMMYFUNCTION("""COMPUTED_VALUE"""),"Amurado de cañeria a la vista")</f>
        <v>Amurado de cañeria a la vista</v>
      </c>
      <c r="S460" s="98" t="str">
        <f>IFERROR(__xludf.DUMMYFUNCTION("""COMPUTED_VALUE"""),"Amurado de cañeria a la vista")</f>
        <v>Amurado de cañeria a la vista</v>
      </c>
      <c r="T460" s="98" t="str">
        <f>IFERROR(__xludf.DUMMYFUNCTION("""COMPUTED_VALUE"""),"Amurado de cañeria a la vista")</f>
        <v>Amurado de cañeria a la vista</v>
      </c>
      <c r="U460" s="98" t="str">
        <f>IFERROR(__xludf.DUMMYFUNCTION("""COMPUTED_VALUE"""),"Amurado de cañeria a la vista")</f>
        <v>Amurado de cañeria a la vista</v>
      </c>
    </row>
    <row r="461" ht="15.75" customHeight="1">
      <c r="E461" s="98"/>
      <c r="F461" s="98"/>
      <c r="G461" s="98"/>
      <c r="H461" s="98"/>
      <c r="I461" s="98"/>
      <c r="J461" s="98"/>
      <c r="K461" s="98"/>
      <c r="L461" s="98"/>
      <c r="M461" s="98"/>
      <c r="N461" s="98"/>
      <c r="O461" s="98"/>
      <c r="P461" s="98"/>
      <c r="Q461" s="98"/>
      <c r="R461" s="98"/>
      <c r="S461" s="98"/>
      <c r="T461" s="98"/>
      <c r="U461" s="98"/>
    </row>
    <row r="462" ht="15.75" customHeight="1">
      <c r="E462" s="98"/>
      <c r="F462" s="98"/>
      <c r="G462" s="98"/>
      <c r="H462" s="98"/>
      <c r="I462" s="98"/>
      <c r="J462" s="98"/>
      <c r="K462" s="98"/>
      <c r="L462" s="98"/>
      <c r="M462" s="98"/>
      <c r="N462" s="98"/>
      <c r="O462" s="98"/>
      <c r="P462" s="98"/>
      <c r="Q462" s="98"/>
      <c r="R462" s="98"/>
      <c r="S462" s="98"/>
      <c r="T462" s="98"/>
      <c r="U462" s="98"/>
    </row>
    <row r="463" ht="15.75" customHeight="1">
      <c r="E463" s="98" t="str">
        <f>IFERROR(__xludf.DUMMYFUNCTION("""COMPUTED_VALUE"""),"Pase de viga y/o columna (AAIERIC)")</f>
        <v>Pase de viga y/o columna (AAIERIC)</v>
      </c>
      <c r="F463" s="98" t="str">
        <f>IFERROR(__xludf.DUMMYFUNCTION("""COMPUTED_VALUE"""),"Pase de viga y/o columna (AAIERIC)")</f>
        <v>Pase de viga y/o columna (AAIERIC)</v>
      </c>
      <c r="G463" s="98" t="str">
        <f>IFERROR(__xludf.DUMMYFUNCTION("""COMPUTED_VALUE"""),"Pase de viga y/o columna (AAIERIC)")</f>
        <v>Pase de viga y/o columna (AAIERIC)</v>
      </c>
      <c r="H463" s="98" t="str">
        <f>IFERROR(__xludf.DUMMYFUNCTION("""COMPUTED_VALUE"""),"Pase de viga y/o columna (AAIERIC)")</f>
        <v>Pase de viga y/o columna (AAIERIC)</v>
      </c>
      <c r="I463" s="98" t="str">
        <f>IFERROR(__xludf.DUMMYFUNCTION("""COMPUTED_VALUE"""),"Pase de viga y/o columna (AAIERIC)")</f>
        <v>Pase de viga y/o columna (AAIERIC)</v>
      </c>
      <c r="J463" s="98" t="str">
        <f>IFERROR(__xludf.DUMMYFUNCTION("""COMPUTED_VALUE"""),"Pase de viga y/o columna (AAIERIC)")</f>
        <v>Pase de viga y/o columna (AAIERIC)</v>
      </c>
      <c r="K463" s="98" t="str">
        <f>IFERROR(__xludf.DUMMYFUNCTION("""COMPUTED_VALUE"""),"Pase de viga y/o columna (AAIERIC)")</f>
        <v>Pase de viga y/o columna (AAIERIC)</v>
      </c>
      <c r="L463" s="98" t="str">
        <f>IFERROR(__xludf.DUMMYFUNCTION("""COMPUTED_VALUE"""),"Pase de viga y/o columna (AAIERIC)")</f>
        <v>Pase de viga y/o columna (AAIERIC)</v>
      </c>
      <c r="M463" s="98" t="str">
        <f>IFERROR(__xludf.DUMMYFUNCTION("""COMPUTED_VALUE"""),"Pase de viga y/o columna (AAIERIC)")</f>
        <v>Pase de viga y/o columna (AAIERIC)</v>
      </c>
      <c r="N463" s="98" t="str">
        <f>IFERROR(__xludf.DUMMYFUNCTION("""COMPUTED_VALUE"""),"Pase de viga y/o columna (AAIERIC)")</f>
        <v>Pase de viga y/o columna (AAIERIC)</v>
      </c>
      <c r="O463" s="98" t="str">
        <f>IFERROR(__xludf.DUMMYFUNCTION("""COMPUTED_VALUE"""),"Pase de viga y/o columna (AAIERIC)")</f>
        <v>Pase de viga y/o columna (AAIERIC)</v>
      </c>
      <c r="P463" s="98" t="str">
        <f>IFERROR(__xludf.DUMMYFUNCTION("""COMPUTED_VALUE"""),"Pase de viga y/o columna (AAIERIC)")</f>
        <v>Pase de viga y/o columna (AAIERIC)</v>
      </c>
      <c r="Q463" s="98" t="str">
        <f>IFERROR(__xludf.DUMMYFUNCTION("""COMPUTED_VALUE"""),"Pase de viga y/o columna (AAIERIC)")</f>
        <v>Pase de viga y/o columna (AAIERIC)</v>
      </c>
      <c r="R463" s="98" t="str">
        <f>IFERROR(__xludf.DUMMYFUNCTION("""COMPUTED_VALUE"""),"Pase de viga y/o columna (AAIERIC)")</f>
        <v>Pase de viga y/o columna (AAIERIC)</v>
      </c>
      <c r="S463" s="98" t="str">
        <f>IFERROR(__xludf.DUMMYFUNCTION("""COMPUTED_VALUE"""),"Pase de viga y/o columna (AAIERIC)")</f>
        <v>Pase de viga y/o columna (AAIERIC)</v>
      </c>
      <c r="T463" s="98" t="str">
        <f>IFERROR(__xludf.DUMMYFUNCTION("""COMPUTED_VALUE"""),"Pase de viga y/o columna (AAIERIC)")</f>
        <v>Pase de viga y/o columna (AAIERIC)</v>
      </c>
      <c r="U463" s="98" t="str">
        <f>IFERROR(__xludf.DUMMYFUNCTION("""COMPUTED_VALUE"""),"Pase de viga y/o columna (AAIERIC)")</f>
        <v>Pase de viga y/o columna (AAIERIC)</v>
      </c>
    </row>
    <row r="464" ht="15.75" customHeight="1">
      <c r="E464" s="98"/>
      <c r="F464" s="98"/>
      <c r="G464" s="98"/>
      <c r="H464" s="98"/>
      <c r="I464" s="98"/>
      <c r="J464" s="98"/>
      <c r="K464" s="98"/>
      <c r="L464" s="98"/>
      <c r="M464" s="98"/>
      <c r="N464" s="98"/>
      <c r="O464" s="98"/>
      <c r="P464" s="98"/>
      <c r="Q464" s="98"/>
      <c r="R464" s="98"/>
      <c r="S464" s="98"/>
      <c r="T464" s="98"/>
      <c r="U464" s="98"/>
    </row>
    <row r="465" ht="15.75" customHeight="1">
      <c r="E465" s="98" t="str">
        <f>IFERROR(__xludf.DUMMYFUNCTION("""COMPUTED_VALUE"""),"Cable subterráneo (AAIERIC)")</f>
        <v>Cable subterráneo (AAIERIC)</v>
      </c>
      <c r="F465" s="98" t="str">
        <f>IFERROR(__xludf.DUMMYFUNCTION("""COMPUTED_VALUE"""),"Cable subterráneo (AAIERIC)")</f>
        <v>Cable subterráneo (AAIERIC)</v>
      </c>
      <c r="G465" s="98" t="str">
        <f>IFERROR(__xludf.DUMMYFUNCTION("""COMPUTED_VALUE"""),"Cable subterráneo (AAIERIC)")</f>
        <v>Cable subterráneo (AAIERIC)</v>
      </c>
      <c r="H465" s="98" t="str">
        <f>IFERROR(__xludf.DUMMYFUNCTION("""COMPUTED_VALUE"""),"Cable subterráneo (AAIERIC)")</f>
        <v>Cable subterráneo (AAIERIC)</v>
      </c>
      <c r="I465" s="98" t="str">
        <f>IFERROR(__xludf.DUMMYFUNCTION("""COMPUTED_VALUE"""),"Cable subterráneo (AAIERIC)")</f>
        <v>Cable subterráneo (AAIERIC)</v>
      </c>
      <c r="J465" s="98" t="str">
        <f>IFERROR(__xludf.DUMMYFUNCTION("""COMPUTED_VALUE"""),"Cable subterráneo (AAIERIC)")</f>
        <v>Cable subterráneo (AAIERIC)</v>
      </c>
      <c r="K465" s="98" t="str">
        <f>IFERROR(__xludf.DUMMYFUNCTION("""COMPUTED_VALUE"""),"Cable subterráneo (AAIERIC)")</f>
        <v>Cable subterráneo (AAIERIC)</v>
      </c>
      <c r="L465" s="98" t="str">
        <f>IFERROR(__xludf.DUMMYFUNCTION("""COMPUTED_VALUE"""),"Cable subterráneo (AAIERIC)")</f>
        <v>Cable subterráneo (AAIERIC)</v>
      </c>
      <c r="M465" s="98" t="str">
        <f>IFERROR(__xludf.DUMMYFUNCTION("""COMPUTED_VALUE"""),"Cable subterráneo (AAIERIC)")</f>
        <v>Cable subterráneo (AAIERIC)</v>
      </c>
      <c r="N465" s="98" t="str">
        <f>IFERROR(__xludf.DUMMYFUNCTION("""COMPUTED_VALUE"""),"Cable subterráneo (AAIERIC)")</f>
        <v>Cable subterráneo (AAIERIC)</v>
      </c>
      <c r="O465" s="98" t="str">
        <f>IFERROR(__xludf.DUMMYFUNCTION("""COMPUTED_VALUE"""),"Cable subterráneo (AAIERIC)")</f>
        <v>Cable subterráneo (AAIERIC)</v>
      </c>
      <c r="P465" s="98" t="str">
        <f>IFERROR(__xludf.DUMMYFUNCTION("""COMPUTED_VALUE"""),"Cable subterráneo (AAIERIC)")</f>
        <v>Cable subterráneo (AAIERIC)</v>
      </c>
      <c r="Q465" s="98" t="str">
        <f>IFERROR(__xludf.DUMMYFUNCTION("""COMPUTED_VALUE"""),"Cable subterráneo (AAIERIC)")</f>
        <v>Cable subterráneo (AAIERIC)</v>
      </c>
      <c r="R465" s="98" t="str">
        <f>IFERROR(__xludf.DUMMYFUNCTION("""COMPUTED_VALUE"""),"Cable subterráneo (AAIERIC)")</f>
        <v>Cable subterráneo (AAIERIC)</v>
      </c>
      <c r="S465" s="98" t="str">
        <f>IFERROR(__xludf.DUMMYFUNCTION("""COMPUTED_VALUE"""),"Cable subterráneo (AAIERIC)")</f>
        <v>Cable subterráneo (AAIERIC)</v>
      </c>
      <c r="T465" s="98" t="str">
        <f>IFERROR(__xludf.DUMMYFUNCTION("""COMPUTED_VALUE"""),"Cable subterráneo (AAIERIC)")</f>
        <v>Cable subterráneo (AAIERIC)</v>
      </c>
      <c r="U465" s="98" t="str">
        <f>IFERROR(__xludf.DUMMYFUNCTION("""COMPUTED_VALUE"""),"Cable subterráneo (AAIERIC)")</f>
        <v>Cable subterráneo (AAIERIC)</v>
      </c>
    </row>
    <row r="466" ht="15.75" customHeight="1">
      <c r="E466" s="98" t="str">
        <f>IFERROR(__xludf.DUMMYFUNCTION("""COMPUTED_VALUE"""),"Cableado (AAIERIC)")</f>
        <v>Cableado (AAIERIC)</v>
      </c>
      <c r="F466" s="98" t="str">
        <f>IFERROR(__xludf.DUMMYFUNCTION("""COMPUTED_VALUE"""),"Cableado (AAIERIC)")</f>
        <v>Cableado (AAIERIC)</v>
      </c>
      <c r="G466" s="98" t="str">
        <f>IFERROR(__xludf.DUMMYFUNCTION("""COMPUTED_VALUE"""),"Cableado (AAIERIC)")</f>
        <v>Cableado (AAIERIC)</v>
      </c>
      <c r="H466" s="98" t="str">
        <f>IFERROR(__xludf.DUMMYFUNCTION("""COMPUTED_VALUE"""),"Cableado (AAIERIC)")</f>
        <v>Cableado (AAIERIC)</v>
      </c>
      <c r="I466" s="98" t="str">
        <f>IFERROR(__xludf.DUMMYFUNCTION("""COMPUTED_VALUE"""),"Cableado (AAIERIC)")</f>
        <v>Cableado (AAIERIC)</v>
      </c>
      <c r="J466" s="98" t="str">
        <f>IFERROR(__xludf.DUMMYFUNCTION("""COMPUTED_VALUE"""),"Cableado (AAIERIC)")</f>
        <v>Cableado (AAIERIC)</v>
      </c>
      <c r="K466" s="98" t="str">
        <f>IFERROR(__xludf.DUMMYFUNCTION("""COMPUTED_VALUE"""),"Cableado (AAIERIC)")</f>
        <v>Cableado (AAIERIC)</v>
      </c>
      <c r="L466" s="98" t="str">
        <f>IFERROR(__xludf.DUMMYFUNCTION("""COMPUTED_VALUE"""),"Cableado (AAIERIC)")</f>
        <v>Cableado (AAIERIC)</v>
      </c>
      <c r="M466" s="98" t="str">
        <f>IFERROR(__xludf.DUMMYFUNCTION("""COMPUTED_VALUE"""),"Cableado (AAIERIC)")</f>
        <v>Cableado (AAIERIC)</v>
      </c>
      <c r="N466" s="98" t="str">
        <f>IFERROR(__xludf.DUMMYFUNCTION("""COMPUTED_VALUE"""),"Cableado (AAIERIC)")</f>
        <v>Cableado (AAIERIC)</v>
      </c>
      <c r="O466" s="98" t="str">
        <f>IFERROR(__xludf.DUMMYFUNCTION("""COMPUTED_VALUE"""),"Cableado (AAIERIC)")</f>
        <v>Cableado (AAIERIC)</v>
      </c>
      <c r="P466" s="98" t="str">
        <f>IFERROR(__xludf.DUMMYFUNCTION("""COMPUTED_VALUE"""),"Cableado (AAIERIC)")</f>
        <v>Cableado (AAIERIC)</v>
      </c>
      <c r="Q466" s="98" t="str">
        <f>IFERROR(__xludf.DUMMYFUNCTION("""COMPUTED_VALUE"""),"Cableado (AAIERIC)")</f>
        <v>Cableado (AAIERIC)</v>
      </c>
      <c r="R466" s="98" t="str">
        <f>IFERROR(__xludf.DUMMYFUNCTION("""COMPUTED_VALUE"""),"Cableado (AAIERIC)")</f>
        <v>Cableado (AAIERIC)</v>
      </c>
      <c r="S466" s="98" t="str">
        <f>IFERROR(__xludf.DUMMYFUNCTION("""COMPUTED_VALUE"""),"Cableado (AAIERIC)")</f>
        <v>Cableado (AAIERIC)</v>
      </c>
      <c r="T466" s="98" t="str">
        <f>IFERROR(__xludf.DUMMYFUNCTION("""COMPUTED_VALUE"""),"Cableado (AAIERIC)")</f>
        <v>Cableado (AAIERIC)</v>
      </c>
      <c r="U466" s="98" t="str">
        <f>IFERROR(__xludf.DUMMYFUNCTION("""COMPUTED_VALUE"""),"Cableado (AAIERIC)")</f>
        <v>Cableado (AAIERIC)</v>
      </c>
    </row>
    <row r="467" ht="15.75" customHeight="1">
      <c r="E467" s="98" t="str">
        <f>IFERROR(__xludf.DUMMYFUNCTION("""COMPUTED_VALUE"""),"Conexión de Puntos y Tomas (AAIERIC)")</f>
        <v>Conexión de Puntos y Tomas (AAIERIC)</v>
      </c>
      <c r="F467" s="98" t="str">
        <f>IFERROR(__xludf.DUMMYFUNCTION("""COMPUTED_VALUE"""),"Conexión de Puntos y Tomas (AAIERIC)")</f>
        <v>Conexión de Puntos y Tomas (AAIERIC)</v>
      </c>
      <c r="G467" s="98" t="str">
        <f>IFERROR(__xludf.DUMMYFUNCTION("""COMPUTED_VALUE"""),"Conexión de Puntos y Tomas (AAIERIC)")</f>
        <v>Conexión de Puntos y Tomas (AAIERIC)</v>
      </c>
      <c r="H467" s="98" t="str">
        <f>IFERROR(__xludf.DUMMYFUNCTION("""COMPUTED_VALUE"""),"Conexión de Puntos y Tomas (AAIERIC)")</f>
        <v>Conexión de Puntos y Tomas (AAIERIC)</v>
      </c>
      <c r="I467" s="98" t="str">
        <f>IFERROR(__xludf.DUMMYFUNCTION("""COMPUTED_VALUE"""),"Conexión de Puntos y Tomas (AAIERIC)")</f>
        <v>Conexión de Puntos y Tomas (AAIERIC)</v>
      </c>
      <c r="J467" s="98" t="str">
        <f>IFERROR(__xludf.DUMMYFUNCTION("""COMPUTED_VALUE"""),"Conexión de Puntos y Tomas (AAIERIC)")</f>
        <v>Conexión de Puntos y Tomas (AAIERIC)</v>
      </c>
      <c r="K467" s="98" t="str">
        <f>IFERROR(__xludf.DUMMYFUNCTION("""COMPUTED_VALUE"""),"Conexión de Puntos y Tomas (AAIERIC)")</f>
        <v>Conexión de Puntos y Tomas (AAIERIC)</v>
      </c>
      <c r="L467" s="98" t="str">
        <f>IFERROR(__xludf.DUMMYFUNCTION("""COMPUTED_VALUE"""),"Conexión de Puntos y Tomas (AAIERIC)")</f>
        <v>Conexión de Puntos y Tomas (AAIERIC)</v>
      </c>
      <c r="M467" s="98" t="str">
        <f>IFERROR(__xludf.DUMMYFUNCTION("""COMPUTED_VALUE"""),"Conexión de Puntos y Tomas (AAIERIC)")</f>
        <v>Conexión de Puntos y Tomas (AAIERIC)</v>
      </c>
      <c r="N467" s="98" t="str">
        <f>IFERROR(__xludf.DUMMYFUNCTION("""COMPUTED_VALUE"""),"Conexión de Puntos y Tomas (AAIERIC)")</f>
        <v>Conexión de Puntos y Tomas (AAIERIC)</v>
      </c>
      <c r="O467" s="98" t="str">
        <f>IFERROR(__xludf.DUMMYFUNCTION("""COMPUTED_VALUE"""),"Conexión de Puntos y Tomas (AAIERIC)")</f>
        <v>Conexión de Puntos y Tomas (AAIERIC)</v>
      </c>
      <c r="P467" s="98" t="str">
        <f>IFERROR(__xludf.DUMMYFUNCTION("""COMPUTED_VALUE"""),"Conexión de Puntos y Tomas (AAIERIC)")</f>
        <v>Conexión de Puntos y Tomas (AAIERIC)</v>
      </c>
      <c r="Q467" s="98" t="str">
        <f>IFERROR(__xludf.DUMMYFUNCTION("""COMPUTED_VALUE"""),"Conexión de Puntos y Tomas (AAIERIC)")</f>
        <v>Conexión de Puntos y Tomas (AAIERIC)</v>
      </c>
      <c r="R467" s="98" t="str">
        <f>IFERROR(__xludf.DUMMYFUNCTION("""COMPUTED_VALUE"""),"Conexión de Puntos y Tomas (AAIERIC)")</f>
        <v>Conexión de Puntos y Tomas (AAIERIC)</v>
      </c>
      <c r="S467" s="98" t="str">
        <f>IFERROR(__xludf.DUMMYFUNCTION("""COMPUTED_VALUE"""),"Conexión de Puntos y Tomas (AAIERIC)")</f>
        <v>Conexión de Puntos y Tomas (AAIERIC)</v>
      </c>
      <c r="T467" s="98" t="str">
        <f>IFERROR(__xludf.DUMMYFUNCTION("""COMPUTED_VALUE"""),"Conexión de Puntos y Tomas (AAIERIC)")</f>
        <v>Conexión de Puntos y Tomas (AAIERIC)</v>
      </c>
      <c r="U467" s="98" t="str">
        <f>IFERROR(__xludf.DUMMYFUNCTION("""COMPUTED_VALUE"""),"Conexión de Puntos y Tomas (AAIERIC)")</f>
        <v>Conexión de Puntos y Tomas (AAIERIC)</v>
      </c>
    </row>
    <row r="468" ht="15.75" customHeight="1">
      <c r="E468" s="98" t="str">
        <f>IFERROR(__xludf.DUMMYFUNCTION("""COMPUTED_VALUE"""),"Tableros (AAIERIC)")</f>
        <v>Tableros (AAIERIC)</v>
      </c>
      <c r="F468" s="98" t="str">
        <f>IFERROR(__xludf.DUMMYFUNCTION("""COMPUTED_VALUE"""),"Tableros (AAIERIC)")</f>
        <v>Tableros (AAIERIC)</v>
      </c>
      <c r="G468" s="98" t="str">
        <f>IFERROR(__xludf.DUMMYFUNCTION("""COMPUTED_VALUE"""),"Tableros (AAIERIC)")</f>
        <v>Tableros (AAIERIC)</v>
      </c>
      <c r="H468" s="98" t="str">
        <f>IFERROR(__xludf.DUMMYFUNCTION("""COMPUTED_VALUE"""),"Tableros (AAIERIC)")</f>
        <v>Tableros (AAIERIC)</v>
      </c>
      <c r="I468" s="98" t="str">
        <f>IFERROR(__xludf.DUMMYFUNCTION("""COMPUTED_VALUE"""),"Tableros (AAIERIC)")</f>
        <v>Tableros (AAIERIC)</v>
      </c>
      <c r="J468" s="98" t="str">
        <f>IFERROR(__xludf.DUMMYFUNCTION("""COMPUTED_VALUE"""),"Tableros (AAIERIC)")</f>
        <v>Tableros (AAIERIC)</v>
      </c>
      <c r="K468" s="98" t="str">
        <f>IFERROR(__xludf.DUMMYFUNCTION("""COMPUTED_VALUE"""),"Tableros (AAIERIC)")</f>
        <v>Tableros (AAIERIC)</v>
      </c>
      <c r="L468" s="98" t="str">
        <f>IFERROR(__xludf.DUMMYFUNCTION("""COMPUTED_VALUE"""),"Tableros (AAIERIC)")</f>
        <v>Tableros (AAIERIC)</v>
      </c>
      <c r="M468" s="98" t="str">
        <f>IFERROR(__xludf.DUMMYFUNCTION("""COMPUTED_VALUE"""),"Tableros (AAIERIC)")</f>
        <v>Tableros (AAIERIC)</v>
      </c>
      <c r="N468" s="98" t="str">
        <f>IFERROR(__xludf.DUMMYFUNCTION("""COMPUTED_VALUE"""),"Tableros (AAIERIC)")</f>
        <v>Tableros (AAIERIC)</v>
      </c>
      <c r="O468" s="98" t="str">
        <f>IFERROR(__xludf.DUMMYFUNCTION("""COMPUTED_VALUE"""),"Tableros (AAIERIC)")</f>
        <v>Tableros (AAIERIC)</v>
      </c>
      <c r="P468" s="98" t="str">
        <f>IFERROR(__xludf.DUMMYFUNCTION("""COMPUTED_VALUE"""),"Tableros (AAIERIC)")</f>
        <v>Tableros (AAIERIC)</v>
      </c>
      <c r="Q468" s="98" t="str">
        <f>IFERROR(__xludf.DUMMYFUNCTION("""COMPUTED_VALUE"""),"Tableros (AAIERIC)")</f>
        <v>Tableros (AAIERIC)</v>
      </c>
      <c r="R468" s="98" t="str">
        <f>IFERROR(__xludf.DUMMYFUNCTION("""COMPUTED_VALUE"""),"Tableros (AAIERIC)")</f>
        <v>Tableros (AAIERIC)</v>
      </c>
      <c r="S468" s="98" t="str">
        <f>IFERROR(__xludf.DUMMYFUNCTION("""COMPUTED_VALUE"""),"Tableros (AAIERIC)")</f>
        <v>Tableros (AAIERIC)</v>
      </c>
      <c r="T468" s="98" t="str">
        <f>IFERROR(__xludf.DUMMYFUNCTION("""COMPUTED_VALUE"""),"Tableros (AAIERIC)")</f>
        <v>Tableros (AAIERIC)</v>
      </c>
      <c r="U468" s="98" t="str">
        <f>IFERROR(__xludf.DUMMYFUNCTION("""COMPUTED_VALUE"""),"Tableros (AAIERIC)")</f>
        <v>Tableros (AAIERIC)</v>
      </c>
    </row>
    <row r="469" ht="15.75" customHeight="1">
      <c r="E469" s="98" t="str">
        <f>IFERROR(__xludf.DUMMYFUNCTION("""COMPUTED_VALUE"""),"Colocación de Artefactos de iluminación y otros (AAIERIC)")</f>
        <v>Colocación de Artefactos de iluminación y otros (AAIERIC)</v>
      </c>
      <c r="F469" s="98" t="str">
        <f>IFERROR(__xludf.DUMMYFUNCTION("""COMPUTED_VALUE"""),"Colocación de Artefactos de iluminación y otros (AAIERIC)")</f>
        <v>Colocación de Artefactos de iluminación y otros (AAIERIC)</v>
      </c>
      <c r="G469" s="98" t="str">
        <f>IFERROR(__xludf.DUMMYFUNCTION("""COMPUTED_VALUE"""),"Colocación de Artefactos de iluminación y otros (AAIERIC)")</f>
        <v>Colocación de Artefactos de iluminación y otros (AAIERIC)</v>
      </c>
      <c r="H469" s="98" t="str">
        <f>IFERROR(__xludf.DUMMYFUNCTION("""COMPUTED_VALUE"""),"Colocación de Artefactos de iluminación y otros (AAIERIC)")</f>
        <v>Colocación de Artefactos de iluminación y otros (AAIERIC)</v>
      </c>
      <c r="I469" s="98" t="str">
        <f>IFERROR(__xludf.DUMMYFUNCTION("""COMPUTED_VALUE"""),"Colocación de Artefactos de iluminación y otros (AAIERIC)")</f>
        <v>Colocación de Artefactos de iluminación y otros (AAIERIC)</v>
      </c>
      <c r="J469" s="98" t="str">
        <f>IFERROR(__xludf.DUMMYFUNCTION("""COMPUTED_VALUE"""),"Colocación de Artefactos de iluminación y otros (AAIERIC)")</f>
        <v>Colocación de Artefactos de iluminación y otros (AAIERIC)</v>
      </c>
      <c r="K469" s="98" t="str">
        <f>IFERROR(__xludf.DUMMYFUNCTION("""COMPUTED_VALUE"""),"Colocación de Artefactos de iluminación y otros (AAIERIC)")</f>
        <v>Colocación de Artefactos de iluminación y otros (AAIERIC)</v>
      </c>
      <c r="L469" s="98" t="str">
        <f>IFERROR(__xludf.DUMMYFUNCTION("""COMPUTED_VALUE"""),"Colocación de Artefactos de iluminación y otros (AAIERIC)")</f>
        <v>Colocación de Artefactos de iluminación y otros (AAIERIC)</v>
      </c>
      <c r="M469" s="98" t="str">
        <f>IFERROR(__xludf.DUMMYFUNCTION("""COMPUTED_VALUE"""),"Colocación de Artefactos de iluminación y otros (AAIERIC)")</f>
        <v>Colocación de Artefactos de iluminación y otros (AAIERIC)</v>
      </c>
      <c r="N469" s="98" t="str">
        <f>IFERROR(__xludf.DUMMYFUNCTION("""COMPUTED_VALUE"""),"Colocación de Artefactos de iluminación y otros (AAIERIC)")</f>
        <v>Colocación de Artefactos de iluminación y otros (AAIERIC)</v>
      </c>
      <c r="O469" s="98" t="str">
        <f>IFERROR(__xludf.DUMMYFUNCTION("""COMPUTED_VALUE"""),"Colocación de Artefactos de iluminación y otros (AAIERIC)")</f>
        <v>Colocación de Artefactos de iluminación y otros (AAIERIC)</v>
      </c>
      <c r="P469" s="98" t="str">
        <f>IFERROR(__xludf.DUMMYFUNCTION("""COMPUTED_VALUE"""),"Colocación de Artefactos de iluminación y otros (AAIERIC)")</f>
        <v>Colocación de Artefactos de iluminación y otros (AAIERIC)</v>
      </c>
      <c r="Q469" s="98" t="str">
        <f>IFERROR(__xludf.DUMMYFUNCTION("""COMPUTED_VALUE"""),"Colocación de Artefactos de iluminación y otros (AAIERIC)")</f>
        <v>Colocación de Artefactos de iluminación y otros (AAIERIC)</v>
      </c>
      <c r="R469" s="98" t="str">
        <f>IFERROR(__xludf.DUMMYFUNCTION("""COMPUTED_VALUE"""),"Colocación de Artefactos de iluminación y otros (AAIERIC)")</f>
        <v>Colocación de Artefactos de iluminación y otros (AAIERIC)</v>
      </c>
      <c r="S469" s="98" t="str">
        <f>IFERROR(__xludf.DUMMYFUNCTION("""COMPUTED_VALUE"""),"Colocación de Artefactos de iluminación y otros (AAIERIC)")</f>
        <v>Colocación de Artefactos de iluminación y otros (AAIERIC)</v>
      </c>
      <c r="T469" s="98" t="str">
        <f>IFERROR(__xludf.DUMMYFUNCTION("""COMPUTED_VALUE"""),"Colocación de Artefactos de iluminación y otros (AAIERIC)")</f>
        <v>Colocación de Artefactos de iluminación y otros (AAIERIC)</v>
      </c>
      <c r="U469" s="98" t="str">
        <f>IFERROR(__xludf.DUMMYFUNCTION("""COMPUTED_VALUE"""),"Colocación de Artefactos de iluminación y otros (AAIERIC)")</f>
        <v>Colocación de Artefactos de iluminación y otros (AAIERIC)</v>
      </c>
    </row>
    <row r="470" ht="15.75" customHeight="1">
      <c r="E470" s="98" t="str">
        <f>IFERROR(__xludf.DUMMYFUNCTION("""COMPUTED_VALUE"""),"Acometida (amurado + conexión)")</f>
        <v>Acometida (amurado + conexión)</v>
      </c>
      <c r="F470" s="98" t="str">
        <f>IFERROR(__xludf.DUMMYFUNCTION("""COMPUTED_VALUE"""),"Acometida (amurado + conexión)")</f>
        <v>Acometida (amurado + conexión)</v>
      </c>
      <c r="G470" s="98" t="str">
        <f>IFERROR(__xludf.DUMMYFUNCTION("""COMPUTED_VALUE"""),"Acometida (amurado + conexión)")</f>
        <v>Acometida (amurado + conexión)</v>
      </c>
      <c r="H470" s="98" t="str">
        <f>IFERROR(__xludf.DUMMYFUNCTION("""COMPUTED_VALUE"""),"Acometida (amurado + conexión)")</f>
        <v>Acometida (amurado + conexión)</v>
      </c>
      <c r="I470" s="98" t="str">
        <f>IFERROR(__xludf.DUMMYFUNCTION("""COMPUTED_VALUE"""),"Acometida (amurado + conexión)")</f>
        <v>Acometida (amurado + conexión)</v>
      </c>
      <c r="J470" s="98" t="str">
        <f>IFERROR(__xludf.DUMMYFUNCTION("""COMPUTED_VALUE"""),"Acometida (amurado + conexión)")</f>
        <v>Acometida (amurado + conexión)</v>
      </c>
      <c r="K470" s="98" t="str">
        <f>IFERROR(__xludf.DUMMYFUNCTION("""COMPUTED_VALUE"""),"Acometida (amurado + conexión)")</f>
        <v>Acometida (amurado + conexión)</v>
      </c>
      <c r="L470" s="98" t="str">
        <f>IFERROR(__xludf.DUMMYFUNCTION("""COMPUTED_VALUE"""),"Acometida (amurado + conexión)")</f>
        <v>Acometida (amurado + conexión)</v>
      </c>
      <c r="M470" s="98" t="str">
        <f>IFERROR(__xludf.DUMMYFUNCTION("""COMPUTED_VALUE"""),"Acometida (amurado + conexión)")</f>
        <v>Acometida (amurado + conexión)</v>
      </c>
      <c r="N470" s="98" t="str">
        <f>IFERROR(__xludf.DUMMYFUNCTION("""COMPUTED_VALUE"""),"Acometida (amurado + conexión)")</f>
        <v>Acometida (amurado + conexión)</v>
      </c>
      <c r="O470" s="98" t="str">
        <f>IFERROR(__xludf.DUMMYFUNCTION("""COMPUTED_VALUE"""),"Acometida (amurado + conexión)")</f>
        <v>Acometida (amurado + conexión)</v>
      </c>
      <c r="P470" s="98" t="str">
        <f>IFERROR(__xludf.DUMMYFUNCTION("""COMPUTED_VALUE"""),"Acometida (amurado + conexión)")</f>
        <v>Acometida (amurado + conexión)</v>
      </c>
      <c r="Q470" s="98" t="str">
        <f>IFERROR(__xludf.DUMMYFUNCTION("""COMPUTED_VALUE"""),"Acometida (amurado + conexión)")</f>
        <v>Acometida (amurado + conexión)</v>
      </c>
      <c r="R470" s="98" t="str">
        <f>IFERROR(__xludf.DUMMYFUNCTION("""COMPUTED_VALUE"""),"Acometida (amurado + conexión)")</f>
        <v>Acometida (amurado + conexión)</v>
      </c>
      <c r="S470" s="98" t="str">
        <f>IFERROR(__xludf.DUMMYFUNCTION("""COMPUTED_VALUE"""),"Acometida (amurado + conexión)")</f>
        <v>Acometida (amurado + conexión)</v>
      </c>
      <c r="T470" s="98" t="str">
        <f>IFERROR(__xludf.DUMMYFUNCTION("""COMPUTED_VALUE"""),"Acometida (amurado + conexión)")</f>
        <v>Acometida (amurado + conexión)</v>
      </c>
      <c r="U470" s="98" t="str">
        <f>IFERROR(__xludf.DUMMYFUNCTION("""COMPUTED_VALUE"""),"Acometida (amurado + conexión)")</f>
        <v>Acometida (amurado + conexión)</v>
      </c>
    </row>
    <row r="471" ht="15.75" customHeight="1">
      <c r="E471" s="98" t="str">
        <f>IFERROR(__xludf.DUMMYFUNCTION("""COMPUTED_VALUE"""),"Bandejas Portacables x metro (AAIERIC)")</f>
        <v>Bandejas Portacables x metro (AAIERIC)</v>
      </c>
      <c r="F471" s="98" t="str">
        <f>IFERROR(__xludf.DUMMYFUNCTION("""COMPUTED_VALUE"""),"Bandejas Portacables x metro (AAIERIC)")</f>
        <v>Bandejas Portacables x metro (AAIERIC)</v>
      </c>
      <c r="G471" s="98" t="str">
        <f>IFERROR(__xludf.DUMMYFUNCTION("""COMPUTED_VALUE"""),"Bandejas Portacables x metro (AAIERIC)")</f>
        <v>Bandejas Portacables x metro (AAIERIC)</v>
      </c>
      <c r="H471" s="98" t="str">
        <f>IFERROR(__xludf.DUMMYFUNCTION("""COMPUTED_VALUE"""),"Bandejas Portacables x metro (AAIERIC)")</f>
        <v>Bandejas Portacables x metro (AAIERIC)</v>
      </c>
      <c r="I471" s="98" t="str">
        <f>IFERROR(__xludf.DUMMYFUNCTION("""COMPUTED_VALUE"""),"Bandejas Portacables x metro (AAIERIC)")</f>
        <v>Bandejas Portacables x metro (AAIERIC)</v>
      </c>
      <c r="J471" s="98" t="str">
        <f>IFERROR(__xludf.DUMMYFUNCTION("""COMPUTED_VALUE"""),"Bandejas Portacables x metro (AAIERIC)")</f>
        <v>Bandejas Portacables x metro (AAIERIC)</v>
      </c>
      <c r="K471" s="98" t="str">
        <f>IFERROR(__xludf.DUMMYFUNCTION("""COMPUTED_VALUE"""),"Bandejas Portacables x metro (AAIERIC)")</f>
        <v>Bandejas Portacables x metro (AAIERIC)</v>
      </c>
      <c r="L471" s="98" t="str">
        <f>IFERROR(__xludf.DUMMYFUNCTION("""COMPUTED_VALUE"""),"Bandejas Portacables x metro (AAIERIC)")</f>
        <v>Bandejas Portacables x metro (AAIERIC)</v>
      </c>
      <c r="M471" s="98" t="str">
        <f>IFERROR(__xludf.DUMMYFUNCTION("""COMPUTED_VALUE"""),"Bandejas Portacables x metro (AAIERIC)")</f>
        <v>Bandejas Portacables x metro (AAIERIC)</v>
      </c>
      <c r="N471" s="98" t="str">
        <f>IFERROR(__xludf.DUMMYFUNCTION("""COMPUTED_VALUE"""),"Bandejas Portacables x metro (AAIERIC)")</f>
        <v>Bandejas Portacables x metro (AAIERIC)</v>
      </c>
      <c r="O471" s="98" t="str">
        <f>IFERROR(__xludf.DUMMYFUNCTION("""COMPUTED_VALUE"""),"Bandejas Portacables x metro (AAIERIC)")</f>
        <v>Bandejas Portacables x metro (AAIERIC)</v>
      </c>
      <c r="P471" s="98" t="str">
        <f>IFERROR(__xludf.DUMMYFUNCTION("""COMPUTED_VALUE"""),"Bandejas Portacables x metro (AAIERIC)")</f>
        <v>Bandejas Portacables x metro (AAIERIC)</v>
      </c>
      <c r="Q471" s="98" t="str">
        <f>IFERROR(__xludf.DUMMYFUNCTION("""COMPUTED_VALUE"""),"Bandejas Portacables x metro (AAIERIC)")</f>
        <v>Bandejas Portacables x metro (AAIERIC)</v>
      </c>
      <c r="R471" s="98" t="str">
        <f>IFERROR(__xludf.DUMMYFUNCTION("""COMPUTED_VALUE"""),"Bandejas Portacables x metro (AAIERIC)")</f>
        <v>Bandejas Portacables x metro (AAIERIC)</v>
      </c>
      <c r="S471" s="98" t="str">
        <f>IFERROR(__xludf.DUMMYFUNCTION("""COMPUTED_VALUE"""),"Bandejas Portacables x metro (AAIERIC)")</f>
        <v>Bandejas Portacables x metro (AAIERIC)</v>
      </c>
      <c r="T471" s="98" t="str">
        <f>IFERROR(__xludf.DUMMYFUNCTION("""COMPUTED_VALUE"""),"Bandejas Portacables x metro (AAIERIC)")</f>
        <v>Bandejas Portacables x metro (AAIERIC)</v>
      </c>
      <c r="U471" s="98" t="str">
        <f>IFERROR(__xludf.DUMMYFUNCTION("""COMPUTED_VALUE"""),"Bandejas Portacables x metro (AAIERIC)")</f>
        <v>Bandejas Portacables x metro (AAIERIC)</v>
      </c>
    </row>
    <row r="472" ht="15.75" customHeight="1">
      <c r="E472" s="98"/>
      <c r="F472" s="98"/>
      <c r="G472" s="98"/>
      <c r="H472" s="98"/>
      <c r="I472" s="98"/>
      <c r="J472" s="98"/>
      <c r="K472" s="98"/>
      <c r="L472" s="98"/>
      <c r="M472" s="98"/>
      <c r="N472" s="98"/>
      <c r="O472" s="98"/>
      <c r="P472" s="98"/>
      <c r="Q472" s="98"/>
      <c r="R472" s="98"/>
      <c r="S472" s="98"/>
      <c r="T472" s="98"/>
      <c r="U472" s="98"/>
    </row>
    <row r="473" ht="15.75" customHeight="1">
      <c r="E473" s="98"/>
      <c r="F473" s="98"/>
      <c r="G473" s="98"/>
      <c r="H473" s="98"/>
      <c r="I473" s="98"/>
      <c r="J473" s="98"/>
      <c r="K473" s="98"/>
      <c r="L473" s="98"/>
      <c r="M473" s="98"/>
      <c r="N473" s="98"/>
      <c r="O473" s="98"/>
      <c r="P473" s="98"/>
      <c r="Q473" s="98"/>
      <c r="R473" s="98"/>
      <c r="S473" s="98"/>
      <c r="T473" s="98"/>
      <c r="U473" s="98"/>
    </row>
    <row r="474" ht="15.75" customHeight="1">
      <c r="E474" s="98"/>
      <c r="F474" s="98"/>
      <c r="G474" s="98"/>
      <c r="H474" s="98"/>
      <c r="I474" s="98"/>
      <c r="J474" s="98"/>
      <c r="K474" s="98"/>
      <c r="L474" s="98"/>
      <c r="M474" s="98"/>
      <c r="N474" s="98"/>
      <c r="O474" s="98"/>
      <c r="P474" s="98"/>
      <c r="Q474" s="98"/>
      <c r="R474" s="98"/>
      <c r="S474" s="98"/>
      <c r="T474" s="98"/>
      <c r="U474" s="98"/>
    </row>
    <row r="475" ht="15.75" customHeight="1">
      <c r="E475" s="98"/>
      <c r="F475" s="98"/>
      <c r="G475" s="98"/>
      <c r="H475" s="98"/>
      <c r="I475" s="98"/>
      <c r="J475" s="98"/>
      <c r="K475" s="98"/>
      <c r="L475" s="98"/>
      <c r="M475" s="98"/>
      <c r="N475" s="98"/>
      <c r="O475" s="98"/>
      <c r="P475" s="98"/>
      <c r="Q475" s="98"/>
      <c r="R475" s="98"/>
      <c r="S475" s="98"/>
      <c r="T475" s="98"/>
      <c r="U475" s="98"/>
    </row>
    <row r="476" ht="15.75" customHeight="1">
      <c r="E476" s="98"/>
      <c r="F476" s="98"/>
      <c r="G476" s="98"/>
      <c r="H476" s="98"/>
      <c r="I476" s="98"/>
      <c r="J476" s="98"/>
      <c r="K476" s="98"/>
      <c r="L476" s="98"/>
      <c r="M476" s="98"/>
      <c r="N476" s="98"/>
      <c r="O476" s="98"/>
      <c r="P476" s="98"/>
      <c r="Q476" s="98"/>
      <c r="R476" s="98"/>
      <c r="S476" s="98"/>
      <c r="T476" s="98"/>
      <c r="U476" s="98"/>
    </row>
    <row r="477" ht="15.75" customHeight="1">
      <c r="E477" s="98"/>
      <c r="F477" s="98"/>
      <c r="G477" s="98"/>
      <c r="H477" s="98"/>
      <c r="I477" s="98"/>
      <c r="J477" s="98"/>
      <c r="K477" s="98"/>
      <c r="L477" s="98"/>
      <c r="M477" s="98"/>
      <c r="N477" s="98"/>
      <c r="O477" s="98"/>
      <c r="P477" s="98"/>
      <c r="Q477" s="98"/>
      <c r="R477" s="98"/>
      <c r="S477" s="98"/>
      <c r="T477" s="98"/>
      <c r="U477" s="98"/>
    </row>
    <row r="478" ht="15.75" customHeight="1">
      <c r="E478" s="98"/>
      <c r="F478" s="98"/>
      <c r="G478" s="98"/>
      <c r="H478" s="98"/>
      <c r="I478" s="98"/>
      <c r="J478" s="98"/>
      <c r="K478" s="98"/>
      <c r="L478" s="98"/>
      <c r="M478" s="98"/>
      <c r="N478" s="98"/>
      <c r="O478" s="98"/>
      <c r="P478" s="98"/>
      <c r="Q478" s="98"/>
      <c r="R478" s="98"/>
      <c r="S478" s="98"/>
      <c r="T478" s="98"/>
      <c r="U478" s="98"/>
    </row>
    <row r="479" ht="15.75" customHeight="1">
      <c r="E479" s="98"/>
      <c r="F479" s="98"/>
      <c r="G479" s="98"/>
      <c r="H479" s="98"/>
      <c r="I479" s="98"/>
      <c r="J479" s="98"/>
      <c r="K479" s="98"/>
      <c r="L479" s="98"/>
      <c r="M479" s="98"/>
      <c r="N479" s="98"/>
      <c r="O479" s="98"/>
      <c r="P479" s="98"/>
      <c r="Q479" s="98"/>
      <c r="R479" s="98"/>
      <c r="S479" s="98"/>
      <c r="T479" s="98"/>
      <c r="U479" s="98"/>
    </row>
    <row r="480" ht="15.75" customHeight="1">
      <c r="E480" s="98"/>
      <c r="F480" s="98"/>
      <c r="G480" s="98"/>
      <c r="H480" s="98"/>
      <c r="I480" s="98"/>
      <c r="J480" s="98"/>
      <c r="K480" s="98"/>
      <c r="L480" s="98"/>
      <c r="M480" s="98"/>
      <c r="N480" s="98"/>
      <c r="O480" s="98"/>
      <c r="P480" s="98"/>
      <c r="Q480" s="98"/>
      <c r="R480" s="98"/>
      <c r="S480" s="98"/>
      <c r="T480" s="98"/>
      <c r="U480" s="98"/>
    </row>
    <row r="481" ht="15.75" customHeight="1">
      <c r="E481" s="98"/>
      <c r="F481" s="98"/>
      <c r="G481" s="98"/>
      <c r="H481" s="98"/>
      <c r="I481" s="98"/>
      <c r="J481" s="98"/>
      <c r="K481" s="98"/>
      <c r="L481" s="98"/>
      <c r="M481" s="98"/>
      <c r="N481" s="98"/>
      <c r="O481" s="98"/>
      <c r="P481" s="98"/>
      <c r="Q481" s="98"/>
      <c r="R481" s="98"/>
      <c r="S481" s="98"/>
      <c r="T481" s="98"/>
      <c r="U481" s="98"/>
    </row>
    <row r="482" ht="15.75" customHeight="1">
      <c r="E482" s="98"/>
      <c r="F482" s="98"/>
      <c r="G482" s="98"/>
      <c r="H482" s="98"/>
      <c r="I482" s="98"/>
      <c r="J482" s="98"/>
      <c r="K482" s="98"/>
      <c r="L482" s="98"/>
      <c r="M482" s="98"/>
      <c r="N482" s="98"/>
      <c r="O482" s="98"/>
      <c r="P482" s="98"/>
      <c r="Q482" s="98"/>
      <c r="R482" s="98"/>
      <c r="S482" s="98"/>
      <c r="T482" s="98"/>
      <c r="U482" s="98"/>
    </row>
    <row r="483" ht="15.75" customHeight="1">
      <c r="E483" s="98"/>
      <c r="F483" s="98"/>
      <c r="G483" s="98"/>
      <c r="H483" s="98"/>
      <c r="I483" s="98"/>
      <c r="J483" s="98"/>
      <c r="K483" s="98"/>
      <c r="L483" s="98"/>
      <c r="M483" s="98"/>
      <c r="N483" s="98"/>
      <c r="O483" s="98"/>
      <c r="P483" s="98"/>
      <c r="Q483" s="98"/>
      <c r="R483" s="98"/>
      <c r="S483" s="98"/>
      <c r="T483" s="98"/>
      <c r="U483" s="98"/>
    </row>
    <row r="484" ht="15.75" customHeight="1">
      <c r="E484" s="98"/>
      <c r="F484" s="98"/>
      <c r="G484" s="98"/>
      <c r="H484" s="98"/>
      <c r="I484" s="98"/>
      <c r="J484" s="98"/>
      <c r="K484" s="98"/>
      <c r="L484" s="98"/>
      <c r="M484" s="98"/>
      <c r="N484" s="98"/>
      <c r="O484" s="98"/>
      <c r="P484" s="98"/>
      <c r="Q484" s="98"/>
      <c r="R484" s="98"/>
      <c r="S484" s="98"/>
      <c r="T484" s="98"/>
      <c r="U484" s="98"/>
    </row>
    <row r="485" ht="15.75" customHeight="1">
      <c r="E485" s="98"/>
      <c r="F485" s="98"/>
      <c r="G485" s="98"/>
      <c r="H485" s="98"/>
      <c r="I485" s="98"/>
      <c r="J485" s="98"/>
      <c r="K485" s="98"/>
      <c r="L485" s="98"/>
      <c r="M485" s="98"/>
      <c r="N485" s="98"/>
      <c r="O485" s="98"/>
      <c r="P485" s="98"/>
      <c r="Q485" s="98"/>
      <c r="R485" s="98"/>
      <c r="S485" s="98"/>
      <c r="T485" s="98"/>
      <c r="U485" s="98"/>
    </row>
    <row r="486" ht="15.75" customHeight="1">
      <c r="E486" s="98"/>
      <c r="F486" s="98"/>
      <c r="G486" s="98"/>
      <c r="H486" s="98"/>
      <c r="I486" s="98"/>
      <c r="J486" s="98"/>
      <c r="K486" s="98"/>
      <c r="L486" s="98"/>
      <c r="M486" s="98"/>
      <c r="N486" s="98"/>
      <c r="O486" s="98"/>
      <c r="P486" s="98"/>
      <c r="Q486" s="98"/>
      <c r="R486" s="98"/>
      <c r="S486" s="98"/>
      <c r="T486" s="98"/>
      <c r="U486" s="98"/>
    </row>
    <row r="487" ht="15.75" customHeight="1">
      <c r="E487" s="98"/>
      <c r="F487" s="98"/>
      <c r="G487" s="98"/>
      <c r="H487" s="98"/>
      <c r="I487" s="98"/>
      <c r="J487" s="98"/>
      <c r="K487" s="98"/>
      <c r="L487" s="98"/>
      <c r="M487" s="98"/>
      <c r="N487" s="98"/>
      <c r="O487" s="98"/>
      <c r="P487" s="98"/>
      <c r="Q487" s="98"/>
      <c r="R487" s="98"/>
      <c r="S487" s="98"/>
      <c r="T487" s="98"/>
      <c r="U487" s="98"/>
    </row>
    <row r="488" ht="15.75" customHeight="1">
      <c r="E488" s="98"/>
      <c r="F488" s="98"/>
      <c r="G488" s="98"/>
      <c r="H488" s="98"/>
      <c r="I488" s="98"/>
      <c r="J488" s="98"/>
      <c r="K488" s="98"/>
      <c r="L488" s="98"/>
      <c r="M488" s="98"/>
      <c r="N488" s="98"/>
      <c r="O488" s="98"/>
      <c r="P488" s="98"/>
      <c r="Q488" s="98"/>
      <c r="R488" s="98"/>
      <c r="S488" s="98"/>
      <c r="T488" s="98"/>
      <c r="U488" s="98"/>
    </row>
    <row r="489" ht="15.75" customHeight="1">
      <c r="E489" s="98"/>
      <c r="F489" s="98"/>
      <c r="G489" s="98"/>
      <c r="H489" s="98"/>
      <c r="I489" s="98"/>
      <c r="J489" s="98"/>
      <c r="K489" s="98"/>
      <c r="L489" s="98"/>
      <c r="M489" s="98"/>
      <c r="N489" s="98"/>
      <c r="O489" s="98"/>
      <c r="P489" s="98"/>
      <c r="Q489" s="98"/>
      <c r="R489" s="98"/>
      <c r="S489" s="98"/>
      <c r="T489" s="98"/>
      <c r="U489" s="98"/>
    </row>
    <row r="490" ht="15.75" customHeight="1">
      <c r="E490" s="98"/>
      <c r="F490" s="98"/>
      <c r="G490" s="98"/>
      <c r="H490" s="98"/>
      <c r="I490" s="98"/>
      <c r="J490" s="98"/>
      <c r="K490" s="98"/>
      <c r="L490" s="98"/>
      <c r="M490" s="98"/>
      <c r="N490" s="98"/>
      <c r="O490" s="98"/>
      <c r="P490" s="98"/>
      <c r="Q490" s="98"/>
      <c r="R490" s="98"/>
      <c r="S490" s="98"/>
      <c r="T490" s="98"/>
      <c r="U490" s="98"/>
    </row>
    <row r="491" ht="15.75" customHeight="1">
      <c r="E491" s="98"/>
      <c r="F491" s="98"/>
      <c r="G491" s="98"/>
      <c r="H491" s="98"/>
      <c r="I491" s="98"/>
      <c r="J491" s="98"/>
      <c r="K491" s="98"/>
      <c r="L491" s="98"/>
      <c r="M491" s="98"/>
      <c r="N491" s="98"/>
      <c r="O491" s="98"/>
      <c r="P491" s="98"/>
      <c r="Q491" s="98"/>
      <c r="R491" s="98"/>
      <c r="S491" s="98"/>
      <c r="T491" s="98"/>
      <c r="U491" s="98"/>
    </row>
    <row r="492" ht="15.75" customHeight="1">
      <c r="E492" s="98"/>
      <c r="F492" s="98"/>
      <c r="G492" s="98"/>
      <c r="H492" s="98"/>
      <c r="I492" s="98"/>
      <c r="J492" s="98"/>
      <c r="K492" s="98"/>
      <c r="L492" s="98"/>
      <c r="M492" s="98"/>
      <c r="N492" s="98"/>
      <c r="O492" s="98"/>
      <c r="P492" s="98"/>
      <c r="Q492" s="98"/>
      <c r="R492" s="98"/>
      <c r="S492" s="98"/>
      <c r="T492" s="98"/>
      <c r="U492" s="98"/>
    </row>
    <row r="493" ht="15.75" customHeight="1">
      <c r="E493" s="98"/>
      <c r="F493" s="98"/>
      <c r="G493" s="98"/>
      <c r="H493" s="98"/>
      <c r="I493" s="98"/>
      <c r="J493" s="98"/>
      <c r="K493" s="98"/>
      <c r="L493" s="98"/>
      <c r="M493" s="98"/>
      <c r="N493" s="98"/>
      <c r="O493" s="98"/>
      <c r="P493" s="98"/>
      <c r="Q493" s="98"/>
      <c r="R493" s="98"/>
      <c r="S493" s="98"/>
      <c r="T493" s="98"/>
      <c r="U493" s="98"/>
    </row>
    <row r="494" ht="15.75" customHeight="1">
      <c r="E494" s="98"/>
      <c r="F494" s="98"/>
      <c r="G494" s="98"/>
      <c r="H494" s="98"/>
      <c r="I494" s="98"/>
      <c r="J494" s="98"/>
      <c r="K494" s="98"/>
      <c r="L494" s="98"/>
      <c r="M494" s="98"/>
      <c r="N494" s="98"/>
      <c r="O494" s="98"/>
      <c r="P494" s="98"/>
      <c r="Q494" s="98"/>
      <c r="R494" s="98"/>
      <c r="S494" s="98"/>
      <c r="T494" s="98"/>
      <c r="U494" s="98"/>
    </row>
    <row r="495" ht="15.75" customHeight="1">
      <c r="E495" s="98"/>
      <c r="F495" s="98"/>
      <c r="G495" s="98"/>
      <c r="H495" s="98"/>
      <c r="I495" s="98"/>
      <c r="J495" s="98"/>
      <c r="K495" s="98"/>
      <c r="L495" s="98"/>
      <c r="M495" s="98"/>
      <c r="N495" s="98"/>
      <c r="O495" s="98"/>
      <c r="P495" s="98"/>
      <c r="Q495" s="98"/>
      <c r="R495" s="98"/>
      <c r="S495" s="98"/>
      <c r="T495" s="98"/>
      <c r="U495" s="98"/>
    </row>
    <row r="496" ht="15.75" customHeight="1">
      <c r="E496" s="98"/>
      <c r="F496" s="98"/>
      <c r="G496" s="98"/>
      <c r="H496" s="98"/>
      <c r="I496" s="98"/>
      <c r="J496" s="98"/>
      <c r="K496" s="98"/>
      <c r="L496" s="98"/>
      <c r="M496" s="98"/>
      <c r="N496" s="98"/>
      <c r="O496" s="98"/>
      <c r="P496" s="98"/>
      <c r="Q496" s="98"/>
      <c r="R496" s="98"/>
      <c r="S496" s="98"/>
      <c r="T496" s="98"/>
      <c r="U496" s="98"/>
    </row>
    <row r="497" ht="15.75" customHeight="1">
      <c r="E497" s="98"/>
      <c r="F497" s="98"/>
      <c r="G497" s="98"/>
      <c r="H497" s="98"/>
      <c r="I497" s="98"/>
      <c r="J497" s="98"/>
      <c r="K497" s="98"/>
      <c r="L497" s="98"/>
      <c r="M497" s="98"/>
      <c r="N497" s="98"/>
      <c r="O497" s="98"/>
      <c r="P497" s="98"/>
      <c r="Q497" s="98"/>
      <c r="R497" s="98"/>
      <c r="S497" s="98"/>
      <c r="T497" s="98"/>
      <c r="U497" s="98"/>
    </row>
    <row r="498" ht="15.75" customHeight="1">
      <c r="E498" s="98"/>
      <c r="F498" s="98"/>
      <c r="G498" s="98"/>
      <c r="H498" s="98"/>
      <c r="I498" s="98"/>
      <c r="J498" s="98"/>
      <c r="K498" s="98"/>
      <c r="L498" s="98"/>
      <c r="M498" s="98"/>
      <c r="N498" s="98"/>
      <c r="O498" s="98"/>
      <c r="P498" s="98"/>
      <c r="Q498" s="98"/>
      <c r="R498" s="98"/>
      <c r="S498" s="98"/>
      <c r="T498" s="98"/>
      <c r="U498" s="98"/>
    </row>
    <row r="499" ht="15.75" customHeight="1">
      <c r="E499" s="98"/>
      <c r="F499" s="98"/>
      <c r="G499" s="98"/>
      <c r="H499" s="98"/>
      <c r="I499" s="98"/>
      <c r="J499" s="98"/>
      <c r="K499" s="98"/>
      <c r="L499" s="98"/>
      <c r="M499" s="98"/>
      <c r="N499" s="98"/>
      <c r="O499" s="98"/>
      <c r="P499" s="98"/>
      <c r="Q499" s="98"/>
      <c r="R499" s="98"/>
      <c r="S499" s="98"/>
      <c r="T499" s="98"/>
      <c r="U499" s="98"/>
    </row>
    <row r="500" ht="15.75" customHeight="1">
      <c r="E500" s="98"/>
      <c r="F500" s="98"/>
      <c r="G500" s="98"/>
      <c r="H500" s="98"/>
      <c r="I500" s="98"/>
      <c r="J500" s="98"/>
      <c r="K500" s="98"/>
      <c r="L500" s="98"/>
      <c r="M500" s="98"/>
      <c r="N500" s="98"/>
      <c r="O500" s="98"/>
      <c r="P500" s="98"/>
      <c r="Q500" s="98"/>
      <c r="R500" s="98"/>
      <c r="S500" s="98"/>
      <c r="T500" s="98"/>
      <c r="U500" s="98"/>
    </row>
    <row r="501" ht="15.75" customHeight="1">
      <c r="E501" s="98"/>
      <c r="F501" s="98"/>
      <c r="G501" s="98"/>
      <c r="H501" s="98"/>
      <c r="I501" s="98"/>
      <c r="J501" s="98"/>
      <c r="K501" s="98"/>
      <c r="L501" s="98"/>
      <c r="M501" s="98"/>
      <c r="N501" s="98"/>
      <c r="O501" s="98"/>
      <c r="P501" s="98"/>
      <c r="Q501" s="98"/>
      <c r="R501" s="98"/>
      <c r="S501" s="98"/>
      <c r="T501" s="98"/>
      <c r="U501" s="98"/>
    </row>
    <row r="502" ht="15.75" customHeight="1">
      <c r="E502" s="98"/>
      <c r="F502" s="98"/>
      <c r="G502" s="98"/>
      <c r="H502" s="98"/>
      <c r="I502" s="98"/>
      <c r="J502" s="98"/>
      <c r="K502" s="98"/>
      <c r="L502" s="98"/>
      <c r="M502" s="98"/>
      <c r="N502" s="98"/>
      <c r="O502" s="98"/>
      <c r="P502" s="98"/>
      <c r="Q502" s="98"/>
      <c r="R502" s="98"/>
      <c r="S502" s="98"/>
      <c r="T502" s="98"/>
      <c r="U502" s="98"/>
    </row>
    <row r="503" ht="15.75" customHeight="1">
      <c r="E503" s="98"/>
      <c r="F503" s="98"/>
      <c r="G503" s="98"/>
      <c r="H503" s="98"/>
      <c r="I503" s="98"/>
      <c r="J503" s="98"/>
      <c r="K503" s="98"/>
      <c r="L503" s="98"/>
      <c r="M503" s="98"/>
      <c r="N503" s="98"/>
      <c r="O503" s="98"/>
      <c r="P503" s="98"/>
      <c r="Q503" s="98"/>
      <c r="R503" s="98"/>
      <c r="S503" s="98"/>
      <c r="T503" s="98"/>
      <c r="U503" s="98"/>
    </row>
    <row r="504" ht="15.75" customHeight="1">
      <c r="E504" s="98"/>
      <c r="F504" s="98"/>
      <c r="G504" s="98"/>
      <c r="H504" s="98"/>
      <c r="I504" s="98"/>
      <c r="J504" s="98"/>
      <c r="K504" s="98"/>
      <c r="L504" s="98"/>
      <c r="M504" s="98"/>
      <c r="N504" s="98"/>
      <c r="O504" s="98"/>
      <c r="P504" s="98"/>
      <c r="Q504" s="98"/>
      <c r="R504" s="98"/>
      <c r="S504" s="98"/>
      <c r="T504" s="98"/>
      <c r="U504" s="98"/>
    </row>
    <row r="505" ht="15.75" customHeight="1">
      <c r="E505" s="98"/>
      <c r="F505" s="98"/>
      <c r="G505" s="98"/>
      <c r="H505" s="98"/>
      <c r="I505" s="98"/>
      <c r="J505" s="98"/>
      <c r="K505" s="98"/>
      <c r="L505" s="98"/>
      <c r="M505" s="98"/>
      <c r="N505" s="98"/>
      <c r="O505" s="98"/>
      <c r="P505" s="98"/>
      <c r="Q505" s="98"/>
      <c r="R505" s="98"/>
      <c r="S505" s="98"/>
      <c r="T505" s="98"/>
      <c r="U505" s="98"/>
    </row>
    <row r="506" ht="15.75" customHeight="1">
      <c r="E506" s="98"/>
      <c r="F506" s="98"/>
      <c r="G506" s="98"/>
      <c r="H506" s="98"/>
      <c r="I506" s="98"/>
      <c r="J506" s="98"/>
      <c r="K506" s="98"/>
      <c r="L506" s="98"/>
      <c r="M506" s="98"/>
      <c r="N506" s="98"/>
      <c r="O506" s="98"/>
      <c r="P506" s="98"/>
      <c r="Q506" s="98"/>
      <c r="R506" s="98"/>
      <c r="S506" s="98"/>
      <c r="T506" s="98"/>
      <c r="U506" s="98"/>
    </row>
    <row r="507" ht="15.75" customHeight="1">
      <c r="E507" s="98"/>
      <c r="F507" s="98"/>
      <c r="G507" s="98"/>
      <c r="H507" s="98"/>
      <c r="I507" s="98"/>
      <c r="J507" s="98"/>
      <c r="K507" s="98"/>
      <c r="L507" s="98"/>
      <c r="M507" s="98"/>
      <c r="N507" s="98"/>
      <c r="O507" s="98"/>
      <c r="P507" s="98"/>
      <c r="Q507" s="98"/>
      <c r="R507" s="98"/>
      <c r="S507" s="98"/>
      <c r="T507" s="98"/>
      <c r="U507" s="98"/>
    </row>
    <row r="508" ht="15.75" customHeight="1">
      <c r="E508" s="98"/>
      <c r="F508" s="98"/>
      <c r="G508" s="98"/>
      <c r="H508" s="98"/>
      <c r="I508" s="98"/>
      <c r="J508" s="98"/>
      <c r="K508" s="98"/>
      <c r="L508" s="98"/>
      <c r="M508" s="98"/>
      <c r="N508" s="98"/>
      <c r="O508" s="98"/>
      <c r="P508" s="98"/>
      <c r="Q508" s="98"/>
      <c r="R508" s="98"/>
      <c r="S508" s="98"/>
      <c r="T508" s="98"/>
      <c r="U508" s="98"/>
    </row>
    <row r="509" ht="15.75" customHeight="1">
      <c r="E509" s="98"/>
      <c r="F509" s="98"/>
      <c r="G509" s="98"/>
      <c r="H509" s="98"/>
      <c r="I509" s="98"/>
      <c r="J509" s="98"/>
      <c r="K509" s="98"/>
      <c r="L509" s="98"/>
      <c r="M509" s="98"/>
      <c r="N509" s="98"/>
      <c r="O509" s="98"/>
      <c r="P509" s="98"/>
      <c r="Q509" s="98"/>
      <c r="R509" s="98"/>
      <c r="S509" s="98"/>
      <c r="T509" s="98"/>
      <c r="U509" s="98"/>
    </row>
    <row r="510" ht="15.75" customHeight="1">
      <c r="E510" s="98"/>
      <c r="F510" s="98"/>
      <c r="G510" s="98"/>
      <c r="H510" s="98"/>
      <c r="I510" s="98"/>
      <c r="J510" s="98"/>
      <c r="K510" s="98"/>
      <c r="L510" s="98"/>
      <c r="M510" s="98"/>
      <c r="N510" s="98"/>
      <c r="O510" s="98"/>
      <c r="P510" s="98"/>
      <c r="Q510" s="98"/>
      <c r="R510" s="98"/>
      <c r="S510" s="98"/>
      <c r="T510" s="98"/>
      <c r="U510" s="98"/>
    </row>
    <row r="511" ht="15.75" customHeight="1">
      <c r="E511" s="98"/>
      <c r="F511" s="98"/>
      <c r="G511" s="98"/>
      <c r="H511" s="98"/>
      <c r="I511" s="98"/>
      <c r="J511" s="98"/>
      <c r="K511" s="98"/>
      <c r="L511" s="98"/>
      <c r="M511" s="98"/>
      <c r="N511" s="98"/>
      <c r="O511" s="98"/>
      <c r="P511" s="98"/>
      <c r="Q511" s="98"/>
      <c r="R511" s="98"/>
      <c r="S511" s="98"/>
      <c r="T511" s="98"/>
      <c r="U511" s="98"/>
    </row>
    <row r="512" ht="15.75" customHeight="1">
      <c r="E512" s="98"/>
      <c r="F512" s="98"/>
      <c r="G512" s="98"/>
      <c r="H512" s="98"/>
      <c r="I512" s="98"/>
      <c r="J512" s="98"/>
      <c r="K512" s="98"/>
      <c r="L512" s="98"/>
      <c r="M512" s="98"/>
      <c r="N512" s="98"/>
      <c r="O512" s="98"/>
      <c r="P512" s="98"/>
      <c r="Q512" s="98"/>
      <c r="R512" s="98"/>
      <c r="S512" s="98"/>
      <c r="T512" s="98"/>
      <c r="U512" s="98"/>
    </row>
    <row r="513" ht="15.75" customHeight="1">
      <c r="E513" s="98"/>
      <c r="F513" s="98"/>
      <c r="G513" s="98"/>
      <c r="H513" s="98"/>
      <c r="I513" s="98"/>
      <c r="J513" s="98"/>
      <c r="K513" s="98"/>
      <c r="L513" s="98"/>
      <c r="M513" s="98"/>
      <c r="N513" s="98"/>
      <c r="O513" s="98"/>
      <c r="P513" s="98"/>
      <c r="Q513" s="98"/>
      <c r="R513" s="98"/>
      <c r="S513" s="98"/>
      <c r="T513" s="98"/>
      <c r="U513" s="98"/>
    </row>
    <row r="514" ht="15.75" customHeight="1">
      <c r="E514" s="98"/>
      <c r="F514" s="98"/>
      <c r="G514" s="98"/>
      <c r="H514" s="98"/>
      <c r="I514" s="98"/>
      <c r="J514" s="98"/>
      <c r="K514" s="98"/>
      <c r="L514" s="98"/>
      <c r="M514" s="98"/>
      <c r="N514" s="98"/>
      <c r="O514" s="98"/>
      <c r="P514" s="98"/>
      <c r="Q514" s="98"/>
      <c r="R514" s="98"/>
      <c r="S514" s="98"/>
      <c r="T514" s="98"/>
      <c r="U514" s="98"/>
    </row>
    <row r="515" ht="15.75" customHeight="1">
      <c r="E515" s="98"/>
      <c r="F515" s="98"/>
      <c r="G515" s="98"/>
      <c r="H515" s="98"/>
      <c r="I515" s="98"/>
      <c r="J515" s="98"/>
      <c r="K515" s="98"/>
      <c r="L515" s="98"/>
      <c r="M515" s="98"/>
      <c r="N515" s="98"/>
      <c r="O515" s="98"/>
      <c r="P515" s="98"/>
      <c r="Q515" s="98"/>
      <c r="R515" s="98"/>
      <c r="S515" s="98"/>
      <c r="T515" s="98"/>
      <c r="U515" s="98"/>
    </row>
    <row r="516" ht="15.75" customHeight="1">
      <c r="E516" s="98"/>
      <c r="F516" s="98"/>
      <c r="G516" s="98"/>
      <c r="H516" s="98"/>
      <c r="I516" s="98"/>
      <c r="J516" s="98"/>
      <c r="K516" s="98"/>
      <c r="L516" s="98"/>
      <c r="M516" s="98"/>
      <c r="N516" s="98"/>
      <c r="O516" s="98"/>
      <c r="P516" s="98"/>
      <c r="Q516" s="98"/>
      <c r="R516" s="98"/>
      <c r="S516" s="98"/>
      <c r="T516" s="98"/>
      <c r="U516" s="98"/>
    </row>
    <row r="517" ht="15.75" customHeight="1">
      <c r="E517" s="98"/>
      <c r="F517" s="98"/>
      <c r="G517" s="98"/>
      <c r="H517" s="98"/>
      <c r="I517" s="98"/>
      <c r="J517" s="98"/>
      <c r="K517" s="98"/>
      <c r="L517" s="98"/>
      <c r="M517" s="98"/>
      <c r="N517" s="98"/>
      <c r="O517" s="98"/>
      <c r="P517" s="98"/>
      <c r="Q517" s="98"/>
      <c r="R517" s="98"/>
      <c r="S517" s="98"/>
      <c r="T517" s="98"/>
      <c r="U517" s="98"/>
    </row>
    <row r="518" ht="15.75" customHeight="1">
      <c r="E518" s="98"/>
      <c r="F518" s="98"/>
      <c r="G518" s="98"/>
      <c r="H518" s="98"/>
      <c r="I518" s="98"/>
      <c r="J518" s="98"/>
      <c r="K518" s="98"/>
      <c r="L518" s="98"/>
      <c r="M518" s="98"/>
      <c r="N518" s="98"/>
      <c r="O518" s="98"/>
      <c r="P518" s="98"/>
      <c r="Q518" s="98"/>
      <c r="R518" s="98"/>
      <c r="S518" s="98"/>
      <c r="T518" s="98"/>
      <c r="U518" s="98"/>
    </row>
    <row r="519" ht="15.75" customHeight="1">
      <c r="E519" s="98"/>
      <c r="F519" s="98"/>
      <c r="G519" s="98"/>
      <c r="H519" s="98"/>
      <c r="I519" s="98"/>
      <c r="J519" s="98"/>
      <c r="K519" s="98"/>
      <c r="L519" s="98"/>
      <c r="M519" s="98"/>
      <c r="N519" s="98"/>
      <c r="O519" s="98"/>
      <c r="P519" s="98"/>
      <c r="Q519" s="98"/>
      <c r="R519" s="98"/>
      <c r="S519" s="98"/>
      <c r="T519" s="98"/>
      <c r="U519" s="98"/>
    </row>
    <row r="520" ht="15.75" customHeight="1">
      <c r="E520" s="98"/>
      <c r="F520" s="98"/>
      <c r="G520" s="98"/>
      <c r="H520" s="98"/>
      <c r="I520" s="98"/>
      <c r="J520" s="98"/>
      <c r="K520" s="98"/>
      <c r="L520" s="98"/>
      <c r="M520" s="98"/>
      <c r="N520" s="98"/>
      <c r="O520" s="98"/>
      <c r="P520" s="98"/>
      <c r="Q520" s="98"/>
      <c r="R520" s="98"/>
      <c r="S520" s="98"/>
      <c r="T520" s="98"/>
      <c r="U520" s="98"/>
    </row>
    <row r="521" ht="15.75" customHeight="1">
      <c r="E521" s="98"/>
      <c r="F521" s="98"/>
      <c r="G521" s="98"/>
      <c r="H521" s="98"/>
      <c r="I521" s="98"/>
      <c r="J521" s="98"/>
      <c r="K521" s="98"/>
      <c r="L521" s="98"/>
      <c r="M521" s="98"/>
      <c r="N521" s="98"/>
      <c r="O521" s="98"/>
      <c r="P521" s="98"/>
      <c r="Q521" s="98"/>
      <c r="R521" s="98"/>
      <c r="S521" s="98"/>
      <c r="T521" s="98"/>
      <c r="U521" s="98"/>
    </row>
    <row r="522" ht="15.75" customHeight="1">
      <c r="E522" s="98"/>
      <c r="F522" s="98"/>
      <c r="G522" s="98"/>
      <c r="H522" s="98"/>
      <c r="I522" s="98"/>
      <c r="J522" s="98"/>
      <c r="K522" s="98"/>
      <c r="L522" s="98"/>
      <c r="M522" s="98"/>
      <c r="N522" s="98"/>
      <c r="O522" s="98"/>
      <c r="P522" s="98"/>
      <c r="Q522" s="98"/>
      <c r="R522" s="98"/>
      <c r="S522" s="98"/>
      <c r="T522" s="98"/>
      <c r="U522" s="98"/>
    </row>
    <row r="523" ht="15.75" customHeight="1">
      <c r="E523" s="98"/>
      <c r="F523" s="98"/>
      <c r="G523" s="98"/>
      <c r="H523" s="98"/>
      <c r="I523" s="98"/>
      <c r="J523" s="98"/>
      <c r="K523" s="98"/>
      <c r="L523" s="98"/>
      <c r="M523" s="98"/>
      <c r="N523" s="98"/>
      <c r="O523" s="98"/>
      <c r="P523" s="98"/>
      <c r="Q523" s="98"/>
      <c r="R523" s="98"/>
      <c r="S523" s="98"/>
      <c r="T523" s="98"/>
      <c r="U523" s="98"/>
    </row>
    <row r="524" ht="15.75" customHeight="1">
      <c r="E524" s="98"/>
      <c r="F524" s="98"/>
      <c r="G524" s="98"/>
      <c r="H524" s="98"/>
      <c r="I524" s="98"/>
      <c r="J524" s="98"/>
      <c r="K524" s="98"/>
      <c r="L524" s="98"/>
      <c r="M524" s="98"/>
      <c r="N524" s="98"/>
      <c r="O524" s="98"/>
      <c r="P524" s="98"/>
      <c r="Q524" s="98"/>
      <c r="R524" s="98"/>
      <c r="S524" s="98"/>
      <c r="T524" s="98"/>
      <c r="U524" s="98"/>
    </row>
    <row r="525" ht="15.75" customHeight="1">
      <c r="E525" s="98"/>
      <c r="F525" s="98"/>
      <c r="G525" s="98"/>
      <c r="H525" s="98"/>
      <c r="I525" s="98"/>
      <c r="J525" s="98"/>
      <c r="K525" s="98"/>
      <c r="L525" s="98"/>
      <c r="M525" s="98"/>
      <c r="N525" s="98"/>
      <c r="O525" s="98"/>
      <c r="P525" s="98"/>
      <c r="Q525" s="98"/>
      <c r="R525" s="98"/>
      <c r="S525" s="98"/>
      <c r="T525" s="98"/>
      <c r="U525" s="98"/>
    </row>
    <row r="526" ht="15.75" customHeight="1">
      <c r="E526" s="98"/>
      <c r="F526" s="98"/>
      <c r="G526" s="98"/>
      <c r="H526" s="98"/>
      <c r="I526" s="98"/>
      <c r="J526" s="98"/>
      <c r="K526" s="98"/>
      <c r="L526" s="98"/>
      <c r="M526" s="98"/>
      <c r="N526" s="98"/>
      <c r="O526" s="98"/>
      <c r="P526" s="98"/>
      <c r="Q526" s="98"/>
      <c r="R526" s="98"/>
      <c r="S526" s="98"/>
      <c r="T526" s="98"/>
      <c r="U526" s="98"/>
    </row>
    <row r="527" ht="15.75" customHeight="1">
      <c r="E527" s="98"/>
      <c r="F527" s="98"/>
      <c r="G527" s="98"/>
      <c r="H527" s="98"/>
      <c r="I527" s="98"/>
      <c r="J527" s="98"/>
      <c r="K527" s="98"/>
      <c r="L527" s="98"/>
      <c r="M527" s="98"/>
      <c r="N527" s="98"/>
      <c r="O527" s="98"/>
      <c r="P527" s="98"/>
      <c r="Q527" s="98"/>
      <c r="R527" s="98"/>
      <c r="S527" s="98"/>
      <c r="T527" s="98"/>
      <c r="U527" s="98"/>
    </row>
    <row r="528" ht="15.75" customHeight="1">
      <c r="E528" s="98"/>
      <c r="F528" s="98"/>
      <c r="G528" s="98"/>
      <c r="H528" s="98"/>
      <c r="I528" s="98"/>
      <c r="J528" s="98"/>
      <c r="K528" s="98"/>
      <c r="L528" s="98"/>
      <c r="M528" s="98"/>
      <c r="N528" s="98"/>
      <c r="O528" s="98"/>
      <c r="P528" s="98"/>
      <c r="Q528" s="98"/>
      <c r="R528" s="98"/>
      <c r="S528" s="98"/>
      <c r="T528" s="98"/>
      <c r="U528" s="98"/>
    </row>
    <row r="529" ht="15.75" customHeight="1">
      <c r="E529" s="98"/>
      <c r="F529" s="98"/>
      <c r="G529" s="98"/>
      <c r="H529" s="98"/>
      <c r="I529" s="98"/>
      <c r="J529" s="98"/>
      <c r="K529" s="98"/>
      <c r="L529" s="98"/>
      <c r="M529" s="98"/>
      <c r="N529" s="98"/>
      <c r="O529" s="98"/>
      <c r="P529" s="98"/>
      <c r="Q529" s="98"/>
      <c r="R529" s="98"/>
      <c r="S529" s="98"/>
      <c r="T529" s="98"/>
      <c r="U529" s="98"/>
    </row>
    <row r="530" ht="15.75" customHeight="1">
      <c r="E530" s="98"/>
      <c r="F530" s="98"/>
      <c r="G530" s="98"/>
      <c r="H530" s="98"/>
      <c r="I530" s="98"/>
      <c r="J530" s="98"/>
      <c r="K530" s="98"/>
      <c r="L530" s="98"/>
      <c r="M530" s="98"/>
      <c r="N530" s="98"/>
      <c r="O530" s="98"/>
      <c r="P530" s="98"/>
      <c r="Q530" s="98"/>
      <c r="R530" s="98"/>
      <c r="S530" s="98"/>
      <c r="T530" s="98"/>
      <c r="U530" s="98"/>
    </row>
    <row r="531" ht="15.75" customHeight="1">
      <c r="E531" s="98"/>
      <c r="F531" s="98"/>
      <c r="G531" s="98"/>
      <c r="H531" s="98"/>
      <c r="I531" s="98"/>
      <c r="J531" s="98"/>
      <c r="K531" s="98"/>
      <c r="L531" s="98"/>
      <c r="M531" s="98"/>
      <c r="N531" s="98"/>
      <c r="O531" s="98"/>
      <c r="P531" s="98"/>
      <c r="Q531" s="98"/>
      <c r="R531" s="98"/>
      <c r="S531" s="98"/>
      <c r="T531" s="98"/>
      <c r="U531" s="98"/>
    </row>
    <row r="532" ht="15.75" customHeight="1">
      <c r="E532" s="98"/>
      <c r="F532" s="98"/>
      <c r="G532" s="98"/>
      <c r="H532" s="98"/>
      <c r="I532" s="98"/>
      <c r="J532" s="98"/>
      <c r="K532" s="98"/>
      <c r="L532" s="98"/>
      <c r="M532" s="98"/>
      <c r="N532" s="98"/>
      <c r="O532" s="98"/>
      <c r="P532" s="98"/>
      <c r="Q532" s="98"/>
      <c r="R532" s="98"/>
      <c r="S532" s="98"/>
      <c r="T532" s="98"/>
      <c r="U532" s="98"/>
    </row>
    <row r="533" ht="15.75" customHeight="1">
      <c r="E533" s="98"/>
      <c r="F533" s="98"/>
      <c r="G533" s="98"/>
      <c r="H533" s="98"/>
      <c r="I533" s="98"/>
      <c r="J533" s="98"/>
      <c r="K533" s="98"/>
      <c r="L533" s="98"/>
      <c r="M533" s="98"/>
      <c r="N533" s="98"/>
      <c r="O533" s="98"/>
      <c r="P533" s="98"/>
      <c r="Q533" s="98"/>
      <c r="R533" s="98"/>
      <c r="S533" s="98"/>
      <c r="T533" s="98"/>
      <c r="U533" s="98"/>
    </row>
    <row r="534" ht="15.75" customHeight="1">
      <c r="E534" s="98"/>
      <c r="F534" s="98"/>
      <c r="G534" s="98"/>
      <c r="H534" s="98"/>
      <c r="I534" s="98"/>
      <c r="J534" s="98"/>
      <c r="K534" s="98"/>
      <c r="L534" s="98"/>
      <c r="M534" s="98"/>
      <c r="N534" s="98"/>
      <c r="O534" s="98"/>
      <c r="P534" s="98"/>
      <c r="Q534" s="98"/>
      <c r="R534" s="98"/>
      <c r="S534" s="98"/>
      <c r="T534" s="98"/>
      <c r="U534" s="98"/>
    </row>
    <row r="535" ht="15.75" customHeight="1">
      <c r="E535" s="98"/>
      <c r="F535" s="98"/>
      <c r="G535" s="98"/>
      <c r="H535" s="98"/>
      <c r="I535" s="98"/>
      <c r="J535" s="98"/>
      <c r="K535" s="98"/>
      <c r="L535" s="98"/>
      <c r="M535" s="98"/>
      <c r="N535" s="98"/>
      <c r="O535" s="98"/>
      <c r="P535" s="98"/>
      <c r="Q535" s="98"/>
      <c r="R535" s="98"/>
      <c r="S535" s="98"/>
      <c r="T535" s="98"/>
      <c r="U535" s="98"/>
    </row>
    <row r="536" ht="15.75" customHeight="1">
      <c r="E536" s="98"/>
      <c r="F536" s="98"/>
      <c r="G536" s="98"/>
      <c r="H536" s="98"/>
      <c r="I536" s="98"/>
      <c r="J536" s="98"/>
      <c r="K536" s="98"/>
      <c r="L536" s="98"/>
      <c r="M536" s="98"/>
      <c r="N536" s="98"/>
      <c r="O536" s="98"/>
      <c r="P536" s="98"/>
      <c r="Q536" s="98"/>
      <c r="R536" s="98"/>
      <c r="S536" s="98"/>
      <c r="T536" s="98"/>
      <c r="U536" s="98"/>
    </row>
    <row r="537" ht="15.75" customHeight="1">
      <c r="E537" s="98"/>
      <c r="F537" s="98"/>
      <c r="G537" s="98"/>
      <c r="H537" s="98"/>
      <c r="I537" s="98"/>
      <c r="J537" s="98"/>
      <c r="K537" s="98"/>
      <c r="L537" s="98"/>
      <c r="M537" s="98"/>
      <c r="N537" s="98"/>
      <c r="O537" s="98"/>
      <c r="P537" s="98"/>
      <c r="Q537" s="98"/>
      <c r="R537" s="98"/>
      <c r="S537" s="98"/>
      <c r="T537" s="98"/>
      <c r="U537" s="98"/>
    </row>
    <row r="538" ht="15.75" customHeight="1">
      <c r="E538" s="98"/>
      <c r="F538" s="98"/>
      <c r="G538" s="98"/>
      <c r="H538" s="98"/>
      <c r="I538" s="98"/>
      <c r="J538" s="98"/>
      <c r="K538" s="98"/>
      <c r="L538" s="98"/>
      <c r="M538" s="98"/>
      <c r="N538" s="98"/>
      <c r="O538" s="98"/>
      <c r="P538" s="98"/>
      <c r="Q538" s="98"/>
      <c r="R538" s="98"/>
      <c r="S538" s="98"/>
      <c r="T538" s="98"/>
      <c r="U538" s="98"/>
    </row>
    <row r="539" ht="15.75" customHeight="1">
      <c r="E539" s="98"/>
      <c r="F539" s="98"/>
      <c r="G539" s="98"/>
      <c r="H539" s="98"/>
      <c r="I539" s="98"/>
      <c r="J539" s="98"/>
      <c r="K539" s="98"/>
      <c r="L539" s="98"/>
      <c r="M539" s="98"/>
      <c r="N539" s="98"/>
      <c r="O539" s="98"/>
      <c r="P539" s="98"/>
      <c r="Q539" s="98"/>
      <c r="R539" s="98"/>
      <c r="S539" s="98"/>
      <c r="T539" s="98"/>
      <c r="U539" s="98"/>
    </row>
    <row r="540" ht="15.75" customHeight="1">
      <c r="E540" s="98"/>
      <c r="F540" s="98"/>
      <c r="G540" s="98"/>
      <c r="H540" s="98"/>
      <c r="I540" s="98"/>
      <c r="J540" s="98"/>
      <c r="K540" s="98"/>
      <c r="L540" s="98"/>
      <c r="M540" s="98"/>
      <c r="N540" s="98"/>
      <c r="O540" s="98"/>
      <c r="P540" s="98"/>
      <c r="Q540" s="98"/>
      <c r="R540" s="98"/>
      <c r="S540" s="98"/>
      <c r="T540" s="98"/>
      <c r="U540" s="98"/>
    </row>
    <row r="541" ht="15.75" customHeight="1">
      <c r="E541" s="98"/>
      <c r="F541" s="98"/>
      <c r="G541" s="98"/>
      <c r="H541" s="98"/>
      <c r="I541" s="98"/>
      <c r="J541" s="98"/>
      <c r="K541" s="98"/>
      <c r="L541" s="98"/>
      <c r="M541" s="98"/>
      <c r="N541" s="98"/>
      <c r="O541" s="98"/>
      <c r="P541" s="98"/>
      <c r="Q541" s="98"/>
      <c r="R541" s="98"/>
      <c r="S541" s="98"/>
      <c r="T541" s="98"/>
      <c r="U541" s="98"/>
    </row>
    <row r="542" ht="15.75" customHeight="1">
      <c r="E542" s="98"/>
      <c r="F542" s="98"/>
      <c r="G542" s="98"/>
      <c r="H542" s="98"/>
      <c r="I542" s="98"/>
      <c r="J542" s="98"/>
      <c r="K542" s="98"/>
      <c r="L542" s="98"/>
      <c r="M542" s="98"/>
      <c r="N542" s="98"/>
      <c r="O542" s="98"/>
      <c r="P542" s="98"/>
      <c r="Q542" s="98"/>
      <c r="R542" s="98"/>
      <c r="S542" s="98"/>
      <c r="T542" s="98"/>
      <c r="U542" s="98"/>
    </row>
    <row r="543" ht="15.75" customHeight="1">
      <c r="E543" s="98"/>
      <c r="F543" s="98"/>
      <c r="G543" s="98"/>
      <c r="H543" s="98"/>
      <c r="I543" s="98"/>
      <c r="J543" s="98"/>
      <c r="K543" s="98"/>
      <c r="L543" s="98"/>
      <c r="M543" s="98"/>
      <c r="N543" s="98"/>
      <c r="O543" s="98"/>
      <c r="P543" s="98"/>
      <c r="Q543" s="98"/>
      <c r="R543" s="98"/>
      <c r="S543" s="98"/>
      <c r="T543" s="98"/>
      <c r="U543" s="98"/>
    </row>
    <row r="544" ht="15.75" customHeight="1">
      <c r="E544" s="98"/>
      <c r="F544" s="98"/>
      <c r="G544" s="98"/>
      <c r="H544" s="98"/>
      <c r="I544" s="98"/>
      <c r="J544" s="98"/>
      <c r="K544" s="98"/>
      <c r="L544" s="98"/>
      <c r="M544" s="98"/>
      <c r="N544" s="98"/>
      <c r="O544" s="98"/>
      <c r="P544" s="98"/>
      <c r="Q544" s="98"/>
      <c r="R544" s="98"/>
      <c r="S544" s="98"/>
      <c r="T544" s="98"/>
      <c r="U544" s="98"/>
    </row>
    <row r="545" ht="15.75" customHeight="1">
      <c r="E545" s="98"/>
      <c r="F545" s="98"/>
      <c r="G545" s="98"/>
      <c r="H545" s="98"/>
      <c r="I545" s="98"/>
      <c r="J545" s="98"/>
      <c r="K545" s="98"/>
      <c r="L545" s="98"/>
      <c r="M545" s="98"/>
      <c r="N545" s="98"/>
      <c r="O545" s="98"/>
      <c r="P545" s="98"/>
      <c r="Q545" s="98"/>
      <c r="R545" s="98"/>
      <c r="S545" s="98"/>
      <c r="T545" s="98"/>
      <c r="U545" s="98"/>
    </row>
    <row r="546" ht="15.75" customHeight="1">
      <c r="E546" s="98"/>
      <c r="F546" s="98"/>
      <c r="G546" s="98"/>
      <c r="H546" s="98"/>
      <c r="I546" s="98"/>
      <c r="J546" s="98"/>
      <c r="K546" s="98"/>
      <c r="L546" s="98"/>
      <c r="M546" s="98"/>
      <c r="N546" s="98"/>
      <c r="O546" s="98"/>
      <c r="P546" s="98"/>
      <c r="Q546" s="98"/>
      <c r="R546" s="98"/>
      <c r="S546" s="98"/>
      <c r="T546" s="98"/>
      <c r="U546" s="98"/>
    </row>
    <row r="547" ht="15.75" customHeight="1">
      <c r="E547" s="98"/>
      <c r="F547" s="98"/>
      <c r="G547" s="98"/>
      <c r="H547" s="98"/>
      <c r="I547" s="98"/>
      <c r="J547" s="98"/>
      <c r="K547" s="98"/>
      <c r="L547" s="98"/>
      <c r="M547" s="98"/>
      <c r="N547" s="98"/>
      <c r="O547" s="98"/>
      <c r="P547" s="98"/>
      <c r="Q547" s="98"/>
      <c r="R547" s="98"/>
      <c r="S547" s="98"/>
      <c r="T547" s="98"/>
      <c r="U547" s="98"/>
    </row>
    <row r="548" ht="15.75" customHeight="1">
      <c r="E548" s="98"/>
      <c r="F548" s="98"/>
      <c r="G548" s="98"/>
      <c r="H548" s="98"/>
      <c r="I548" s="98"/>
      <c r="J548" s="98"/>
      <c r="K548" s="98"/>
      <c r="L548" s="98"/>
      <c r="M548" s="98"/>
      <c r="N548" s="98"/>
      <c r="O548" s="98"/>
      <c r="P548" s="98"/>
      <c r="Q548" s="98"/>
      <c r="R548" s="98"/>
      <c r="S548" s="98"/>
      <c r="T548" s="98"/>
      <c r="U548" s="98"/>
    </row>
    <row r="549" ht="15.75" customHeight="1">
      <c r="E549" s="98"/>
      <c r="F549" s="98"/>
      <c r="G549" s="98"/>
      <c r="H549" s="98"/>
      <c r="I549" s="98"/>
      <c r="J549" s="98"/>
      <c r="K549" s="98"/>
      <c r="L549" s="98"/>
      <c r="M549" s="98"/>
      <c r="N549" s="98"/>
      <c r="O549" s="98"/>
      <c r="P549" s="98"/>
      <c r="Q549" s="98"/>
      <c r="R549" s="98"/>
      <c r="S549" s="98"/>
      <c r="T549" s="98"/>
      <c r="U549" s="98"/>
    </row>
    <row r="550" ht="15.75" customHeight="1">
      <c r="E550" s="98"/>
      <c r="F550" s="98"/>
      <c r="G550" s="98"/>
      <c r="H550" s="98"/>
      <c r="I550" s="98"/>
      <c r="J550" s="98"/>
      <c r="K550" s="98"/>
      <c r="L550" s="98"/>
      <c r="M550" s="98"/>
      <c r="N550" s="98"/>
      <c r="O550" s="98"/>
      <c r="P550" s="98"/>
      <c r="Q550" s="98"/>
      <c r="R550" s="98"/>
      <c r="S550" s="98"/>
      <c r="T550" s="98"/>
      <c r="U550" s="98"/>
    </row>
    <row r="551" ht="15.75" customHeight="1">
      <c r="E551" s="98"/>
      <c r="F551" s="98"/>
      <c r="G551" s="98"/>
      <c r="H551" s="98"/>
      <c r="I551" s="98"/>
      <c r="J551" s="98"/>
      <c r="K551" s="98"/>
      <c r="L551" s="98"/>
      <c r="M551" s="98"/>
      <c r="N551" s="98"/>
      <c r="O551" s="98"/>
      <c r="P551" s="98"/>
      <c r="Q551" s="98"/>
      <c r="R551" s="98"/>
      <c r="S551" s="98"/>
      <c r="T551" s="98"/>
      <c r="U551" s="98"/>
    </row>
    <row r="552" ht="15.75" customHeight="1">
      <c r="E552" s="98"/>
      <c r="F552" s="98"/>
      <c r="G552" s="98"/>
      <c r="H552" s="98"/>
      <c r="I552" s="98"/>
      <c r="J552" s="98"/>
      <c r="K552" s="98"/>
      <c r="L552" s="98"/>
      <c r="M552" s="98"/>
      <c r="N552" s="98"/>
      <c r="O552" s="98"/>
      <c r="P552" s="98"/>
      <c r="Q552" s="98"/>
      <c r="R552" s="98"/>
      <c r="S552" s="98"/>
      <c r="T552" s="98"/>
      <c r="U552" s="98"/>
    </row>
    <row r="553" ht="15.75" customHeight="1">
      <c r="E553" s="98"/>
      <c r="F553" s="98"/>
      <c r="G553" s="98"/>
      <c r="H553" s="98"/>
      <c r="I553" s="98"/>
      <c r="J553" s="98"/>
      <c r="K553" s="98"/>
      <c r="L553" s="98"/>
      <c r="M553" s="98"/>
      <c r="N553" s="98"/>
      <c r="O553" s="98"/>
      <c r="P553" s="98"/>
      <c r="Q553" s="98"/>
      <c r="R553" s="98"/>
      <c r="S553" s="98"/>
      <c r="T553" s="98"/>
      <c r="U553" s="98"/>
    </row>
    <row r="554" ht="15.75" customHeight="1">
      <c r="E554" s="98"/>
      <c r="F554" s="98"/>
      <c r="G554" s="98"/>
      <c r="H554" s="98"/>
      <c r="I554" s="98"/>
      <c r="J554" s="98"/>
      <c r="K554" s="98"/>
      <c r="L554" s="98"/>
      <c r="M554" s="98"/>
      <c r="N554" s="98"/>
      <c r="O554" s="98"/>
      <c r="P554" s="98"/>
      <c r="Q554" s="98"/>
      <c r="R554" s="98"/>
      <c r="S554" s="98"/>
      <c r="T554" s="98"/>
      <c r="U554" s="98"/>
    </row>
    <row r="555" ht="15.75" customHeight="1">
      <c r="E555" s="98"/>
      <c r="F555" s="98"/>
      <c r="G555" s="98"/>
      <c r="H555" s="98"/>
      <c r="I555" s="98"/>
      <c r="J555" s="98"/>
      <c r="K555" s="98"/>
      <c r="L555" s="98"/>
      <c r="M555" s="98"/>
      <c r="N555" s="98"/>
      <c r="O555" s="98"/>
      <c r="P555" s="98"/>
      <c r="Q555" s="98"/>
      <c r="R555" s="98"/>
      <c r="S555" s="98"/>
      <c r="T555" s="98"/>
      <c r="U555" s="98"/>
    </row>
    <row r="556" ht="15.75" customHeight="1">
      <c r="E556" s="98"/>
      <c r="F556" s="98"/>
      <c r="G556" s="98"/>
      <c r="H556" s="98"/>
      <c r="I556" s="98"/>
      <c r="J556" s="98"/>
      <c r="K556" s="98"/>
      <c r="L556" s="98"/>
      <c r="M556" s="98"/>
      <c r="N556" s="98"/>
      <c r="O556" s="98"/>
      <c r="P556" s="98"/>
      <c r="Q556" s="98"/>
      <c r="R556" s="98"/>
      <c r="S556" s="98"/>
      <c r="T556" s="98"/>
      <c r="U556" s="98"/>
    </row>
    <row r="557" ht="15.75" customHeight="1">
      <c r="E557" s="98"/>
      <c r="F557" s="98"/>
      <c r="G557" s="98"/>
      <c r="H557" s="98"/>
      <c r="I557" s="98"/>
      <c r="J557" s="98"/>
      <c r="K557" s="98"/>
      <c r="L557" s="98"/>
      <c r="M557" s="98"/>
      <c r="N557" s="98"/>
      <c r="O557" s="98"/>
      <c r="P557" s="98"/>
      <c r="Q557" s="98"/>
      <c r="R557" s="98"/>
      <c r="S557" s="98"/>
      <c r="T557" s="98"/>
      <c r="U557" s="98"/>
    </row>
    <row r="558" ht="15.75" customHeight="1">
      <c r="E558" s="98"/>
      <c r="F558" s="98"/>
      <c r="G558" s="98"/>
      <c r="H558" s="98"/>
      <c r="I558" s="98"/>
      <c r="J558" s="98"/>
      <c r="K558" s="98"/>
      <c r="L558" s="98"/>
      <c r="M558" s="98"/>
      <c r="N558" s="98"/>
      <c r="O558" s="98"/>
      <c r="P558" s="98"/>
      <c r="Q558" s="98"/>
      <c r="R558" s="98"/>
      <c r="S558" s="98"/>
      <c r="T558" s="98"/>
      <c r="U558" s="98"/>
    </row>
    <row r="559" ht="15.75" customHeight="1">
      <c r="E559" s="98"/>
      <c r="F559" s="98"/>
      <c r="G559" s="98"/>
      <c r="H559" s="98"/>
      <c r="I559" s="98"/>
      <c r="J559" s="98"/>
      <c r="K559" s="98"/>
      <c r="L559" s="98"/>
      <c r="M559" s="98"/>
      <c r="N559" s="98"/>
      <c r="O559" s="98"/>
      <c r="P559" s="98"/>
      <c r="Q559" s="98"/>
      <c r="R559" s="98"/>
      <c r="S559" s="98"/>
      <c r="T559" s="98"/>
      <c r="U559" s="98"/>
    </row>
    <row r="560" ht="15.75" customHeight="1">
      <c r="E560" s="98"/>
      <c r="F560" s="98"/>
      <c r="G560" s="98"/>
      <c r="H560" s="98"/>
      <c r="I560" s="98"/>
      <c r="J560" s="98"/>
      <c r="K560" s="98"/>
      <c r="L560" s="98"/>
      <c r="M560" s="98"/>
      <c r="N560" s="98"/>
      <c r="O560" s="98"/>
      <c r="P560" s="98"/>
      <c r="Q560" s="98"/>
      <c r="R560" s="98"/>
      <c r="S560" s="98"/>
      <c r="T560" s="98"/>
      <c r="U560" s="98"/>
    </row>
    <row r="561" ht="15.75" customHeight="1">
      <c r="E561" s="98"/>
      <c r="F561" s="98"/>
      <c r="G561" s="98"/>
      <c r="H561" s="98"/>
      <c r="I561" s="98"/>
      <c r="J561" s="98"/>
      <c r="K561" s="98"/>
      <c r="L561" s="98"/>
      <c r="M561" s="98"/>
      <c r="N561" s="98"/>
      <c r="O561" s="98"/>
      <c r="P561" s="98"/>
      <c r="Q561" s="98"/>
      <c r="R561" s="98"/>
      <c r="S561" s="98"/>
      <c r="T561" s="98"/>
      <c r="U561" s="98"/>
    </row>
    <row r="562" ht="15.75" customHeight="1">
      <c r="E562" s="98"/>
      <c r="F562" s="98"/>
      <c r="G562" s="98"/>
      <c r="H562" s="98"/>
      <c r="I562" s="98"/>
      <c r="J562" s="98"/>
      <c r="K562" s="98"/>
      <c r="L562" s="98"/>
      <c r="M562" s="98"/>
      <c r="N562" s="98"/>
      <c r="O562" s="98"/>
      <c r="P562" s="98"/>
      <c r="Q562" s="98"/>
      <c r="R562" s="98"/>
      <c r="S562" s="98"/>
      <c r="T562" s="98"/>
      <c r="U562" s="98"/>
    </row>
    <row r="563" ht="15.75" customHeight="1">
      <c r="E563" s="98"/>
      <c r="F563" s="98"/>
      <c r="G563" s="98"/>
      <c r="H563" s="98"/>
      <c r="I563" s="98"/>
      <c r="J563" s="98"/>
      <c r="K563" s="98"/>
      <c r="L563" s="98"/>
      <c r="M563" s="98"/>
      <c r="N563" s="98"/>
      <c r="O563" s="98"/>
      <c r="P563" s="98"/>
      <c r="Q563" s="98"/>
      <c r="R563" s="98"/>
      <c r="S563" s="98"/>
      <c r="T563" s="98"/>
      <c r="U563" s="98"/>
    </row>
    <row r="564" ht="15.75" customHeight="1">
      <c r="E564" s="98"/>
      <c r="F564" s="98"/>
      <c r="G564" s="98"/>
      <c r="H564" s="98"/>
      <c r="I564" s="98"/>
      <c r="J564" s="98"/>
      <c r="K564" s="98"/>
      <c r="L564" s="98"/>
      <c r="M564" s="98"/>
      <c r="N564" s="98"/>
      <c r="O564" s="98"/>
      <c r="P564" s="98"/>
      <c r="Q564" s="98"/>
      <c r="R564" s="98"/>
      <c r="S564" s="98"/>
      <c r="T564" s="98"/>
      <c r="U564" s="98"/>
    </row>
    <row r="565" ht="15.75" customHeight="1">
      <c r="E565" s="98"/>
      <c r="F565" s="98"/>
      <c r="G565" s="98"/>
      <c r="H565" s="98"/>
      <c r="I565" s="98"/>
      <c r="J565" s="98"/>
      <c r="K565" s="98"/>
      <c r="L565" s="98"/>
      <c r="M565" s="98"/>
      <c r="N565" s="98"/>
      <c r="O565" s="98"/>
      <c r="P565" s="98"/>
      <c r="Q565" s="98"/>
      <c r="R565" s="98"/>
      <c r="S565" s="98"/>
      <c r="T565" s="98"/>
      <c r="U565" s="98"/>
    </row>
    <row r="566" ht="15.75" customHeight="1">
      <c r="E566" s="98"/>
      <c r="F566" s="98"/>
      <c r="G566" s="98"/>
      <c r="H566" s="98"/>
      <c r="I566" s="98"/>
      <c r="J566" s="98"/>
      <c r="K566" s="98"/>
      <c r="L566" s="98"/>
      <c r="M566" s="98"/>
      <c r="N566" s="98"/>
      <c r="O566" s="98"/>
      <c r="P566" s="98"/>
      <c r="Q566" s="98"/>
      <c r="R566" s="98"/>
      <c r="S566" s="98"/>
      <c r="T566" s="98"/>
      <c r="U566" s="98"/>
    </row>
    <row r="567" ht="15.75" customHeight="1">
      <c r="E567" s="98"/>
      <c r="F567" s="98"/>
      <c r="G567" s="98"/>
      <c r="H567" s="98"/>
      <c r="I567" s="98"/>
      <c r="J567" s="98"/>
      <c r="K567" s="98"/>
      <c r="L567" s="98"/>
      <c r="M567" s="98"/>
      <c r="N567" s="98"/>
      <c r="O567" s="98"/>
      <c r="P567" s="98"/>
      <c r="Q567" s="98"/>
      <c r="R567" s="98"/>
      <c r="S567" s="98"/>
      <c r="T567" s="98"/>
      <c r="U567" s="98"/>
    </row>
    <row r="568" ht="15.75" customHeight="1">
      <c r="E568" s="98"/>
      <c r="F568" s="98"/>
      <c r="G568" s="98"/>
      <c r="H568" s="98"/>
      <c r="I568" s="98"/>
      <c r="J568" s="98"/>
      <c r="K568" s="98"/>
      <c r="L568" s="98"/>
      <c r="M568" s="98"/>
      <c r="N568" s="98"/>
      <c r="O568" s="98"/>
      <c r="P568" s="98"/>
      <c r="Q568" s="98"/>
      <c r="R568" s="98"/>
      <c r="S568" s="98"/>
      <c r="T568" s="98"/>
      <c r="U568" s="98"/>
    </row>
    <row r="569" ht="15.75" customHeight="1">
      <c r="E569" s="98"/>
      <c r="F569" s="98"/>
      <c r="G569" s="98"/>
      <c r="H569" s="98"/>
      <c r="I569" s="98"/>
      <c r="J569" s="98"/>
      <c r="K569" s="98"/>
      <c r="L569" s="98"/>
      <c r="M569" s="98"/>
      <c r="N569" s="98"/>
      <c r="O569" s="98"/>
      <c r="P569" s="98"/>
      <c r="Q569" s="98"/>
      <c r="R569" s="98"/>
      <c r="S569" s="98"/>
      <c r="T569" s="98"/>
      <c r="U569" s="98"/>
    </row>
    <row r="570" ht="15.75" customHeight="1">
      <c r="E570" s="98"/>
      <c r="F570" s="98"/>
      <c r="G570" s="98"/>
      <c r="H570" s="98"/>
      <c r="I570" s="98"/>
      <c r="J570" s="98"/>
      <c r="K570" s="98"/>
      <c r="L570" s="98"/>
      <c r="M570" s="98"/>
      <c r="N570" s="98"/>
      <c r="O570" s="98"/>
      <c r="P570" s="98"/>
      <c r="Q570" s="98"/>
      <c r="R570" s="98"/>
      <c r="S570" s="98"/>
      <c r="T570" s="98"/>
      <c r="U570" s="98"/>
    </row>
    <row r="571" ht="15.75" customHeight="1">
      <c r="E571" s="98"/>
      <c r="F571" s="98"/>
      <c r="G571" s="98"/>
      <c r="H571" s="98"/>
      <c r="I571" s="98"/>
      <c r="J571" s="98"/>
      <c r="K571" s="98"/>
      <c r="L571" s="98"/>
      <c r="M571" s="98"/>
      <c r="N571" s="98"/>
      <c r="O571" s="98"/>
      <c r="P571" s="98"/>
      <c r="Q571" s="98"/>
      <c r="R571" s="98"/>
      <c r="S571" s="98"/>
      <c r="T571" s="98"/>
      <c r="U571" s="98"/>
    </row>
    <row r="572" ht="15.75" customHeight="1">
      <c r="E572" s="98"/>
      <c r="F572" s="98"/>
      <c r="G572" s="98"/>
      <c r="H572" s="98"/>
      <c r="I572" s="98"/>
      <c r="J572" s="98"/>
      <c r="K572" s="98"/>
      <c r="L572" s="98"/>
      <c r="M572" s="98"/>
      <c r="N572" s="98"/>
      <c r="O572" s="98"/>
      <c r="P572" s="98"/>
      <c r="Q572" s="98"/>
      <c r="R572" s="98"/>
      <c r="S572" s="98"/>
      <c r="T572" s="98"/>
      <c r="U572" s="98"/>
    </row>
    <row r="573" ht="15.75" customHeight="1">
      <c r="E573" s="98"/>
      <c r="F573" s="98"/>
      <c r="G573" s="98"/>
      <c r="H573" s="98"/>
      <c r="I573" s="98"/>
      <c r="J573" s="98"/>
      <c r="K573" s="98"/>
      <c r="L573" s="98"/>
      <c r="M573" s="98"/>
      <c r="N573" s="98"/>
      <c r="O573" s="98"/>
      <c r="P573" s="98"/>
      <c r="Q573" s="98"/>
      <c r="R573" s="98"/>
      <c r="S573" s="98"/>
      <c r="T573" s="98"/>
      <c r="U573" s="98"/>
    </row>
    <row r="574" ht="15.75" customHeight="1">
      <c r="E574" s="98"/>
      <c r="F574" s="98"/>
      <c r="G574" s="98"/>
      <c r="H574" s="98"/>
      <c r="I574" s="98"/>
      <c r="J574" s="98"/>
      <c r="K574" s="98"/>
      <c r="L574" s="98"/>
      <c r="M574" s="98"/>
      <c r="N574" s="98"/>
      <c r="O574" s="98"/>
      <c r="P574" s="98"/>
      <c r="Q574" s="98"/>
      <c r="R574" s="98"/>
      <c r="S574" s="98"/>
      <c r="T574" s="98"/>
      <c r="U574" s="98"/>
    </row>
    <row r="575" ht="15.75" customHeight="1">
      <c r="E575" s="98"/>
      <c r="F575" s="98"/>
      <c r="G575" s="98"/>
      <c r="H575" s="98"/>
      <c r="I575" s="98"/>
      <c r="J575" s="98"/>
      <c r="K575" s="98"/>
      <c r="L575" s="98"/>
      <c r="M575" s="98"/>
      <c r="N575" s="98"/>
      <c r="O575" s="98"/>
      <c r="P575" s="98"/>
      <c r="Q575" s="98"/>
      <c r="R575" s="98"/>
      <c r="S575" s="98"/>
      <c r="T575" s="98"/>
      <c r="U575" s="98"/>
    </row>
    <row r="576" ht="15.75" customHeight="1">
      <c r="E576" s="98"/>
      <c r="F576" s="98"/>
      <c r="G576" s="98"/>
      <c r="H576" s="98"/>
      <c r="I576" s="98"/>
      <c r="J576" s="98"/>
      <c r="K576" s="98"/>
      <c r="L576" s="98"/>
      <c r="M576" s="98"/>
      <c r="N576" s="98"/>
      <c r="O576" s="98"/>
      <c r="P576" s="98"/>
      <c r="Q576" s="98"/>
      <c r="R576" s="98"/>
      <c r="S576" s="98"/>
      <c r="T576" s="98"/>
      <c r="U576" s="98"/>
    </row>
    <row r="577" ht="15.75" customHeight="1">
      <c r="E577" s="98"/>
      <c r="F577" s="98"/>
      <c r="G577" s="98"/>
      <c r="H577" s="98"/>
      <c r="I577" s="98"/>
      <c r="J577" s="98"/>
      <c r="K577" s="98"/>
      <c r="L577" s="98"/>
      <c r="M577" s="98"/>
      <c r="N577" s="98"/>
      <c r="O577" s="98"/>
      <c r="P577" s="98"/>
      <c r="Q577" s="98"/>
      <c r="R577" s="98"/>
      <c r="S577" s="98"/>
      <c r="T577" s="98"/>
      <c r="U577" s="98"/>
    </row>
    <row r="578" ht="15.75" customHeight="1">
      <c r="E578" s="98"/>
      <c r="F578" s="98"/>
      <c r="G578" s="98"/>
      <c r="H578" s="98"/>
      <c r="I578" s="98"/>
      <c r="J578" s="98"/>
      <c r="K578" s="98"/>
      <c r="L578" s="98"/>
      <c r="M578" s="98"/>
      <c r="N578" s="98"/>
      <c r="O578" s="98"/>
      <c r="P578" s="98"/>
      <c r="Q578" s="98"/>
      <c r="R578" s="98"/>
      <c r="S578" s="98"/>
      <c r="T578" s="98"/>
      <c r="U578" s="98"/>
    </row>
    <row r="579" ht="15.75" customHeight="1">
      <c r="E579" s="98"/>
      <c r="F579" s="98"/>
      <c r="G579" s="98"/>
      <c r="H579" s="98"/>
      <c r="I579" s="98"/>
      <c r="J579" s="98"/>
      <c r="K579" s="98"/>
      <c r="L579" s="98"/>
      <c r="M579" s="98"/>
      <c r="N579" s="98"/>
      <c r="O579" s="98"/>
      <c r="P579" s="98"/>
      <c r="Q579" s="98"/>
      <c r="R579" s="98"/>
      <c r="S579" s="98"/>
      <c r="T579" s="98"/>
      <c r="U579" s="98"/>
    </row>
    <row r="580" ht="15.75" customHeight="1">
      <c r="E580" s="98"/>
      <c r="F580" s="98"/>
      <c r="G580" s="98"/>
      <c r="H580" s="98"/>
      <c r="I580" s="98"/>
      <c r="J580" s="98"/>
      <c r="K580" s="98"/>
      <c r="L580" s="98"/>
      <c r="M580" s="98"/>
      <c r="N580" s="98"/>
      <c r="O580" s="98"/>
      <c r="P580" s="98"/>
      <c r="Q580" s="98"/>
      <c r="R580" s="98"/>
      <c r="S580" s="98"/>
      <c r="T580" s="98"/>
      <c r="U580" s="98"/>
    </row>
    <row r="581" ht="15.75" customHeight="1">
      <c r="E581" s="98"/>
      <c r="F581" s="98"/>
      <c r="G581" s="98"/>
      <c r="H581" s="98"/>
      <c r="I581" s="98"/>
      <c r="J581" s="98"/>
      <c r="K581" s="98"/>
      <c r="L581" s="98"/>
      <c r="M581" s="98"/>
      <c r="N581" s="98"/>
      <c r="O581" s="98"/>
      <c r="P581" s="98"/>
      <c r="Q581" s="98"/>
      <c r="R581" s="98"/>
      <c r="S581" s="98"/>
      <c r="T581" s="98"/>
      <c r="U581" s="98"/>
    </row>
    <row r="582" ht="15.75" customHeight="1">
      <c r="E582" s="98"/>
      <c r="F582" s="98"/>
      <c r="G582" s="98"/>
      <c r="H582" s="98"/>
      <c r="I582" s="98"/>
      <c r="J582" s="98"/>
      <c r="K582" s="98"/>
      <c r="L582" s="98"/>
      <c r="M582" s="98"/>
      <c r="N582" s="98"/>
      <c r="O582" s="98"/>
      <c r="P582" s="98"/>
      <c r="Q582" s="98"/>
      <c r="R582" s="98"/>
      <c r="S582" s="98"/>
      <c r="T582" s="98"/>
      <c r="U582" s="98"/>
    </row>
    <row r="583" ht="15.75" customHeight="1">
      <c r="E583" s="98"/>
      <c r="F583" s="98"/>
      <c r="G583" s="98"/>
      <c r="H583" s="98"/>
      <c r="I583" s="98"/>
      <c r="J583" s="98"/>
      <c r="K583" s="98"/>
      <c r="L583" s="98"/>
      <c r="M583" s="98"/>
      <c r="N583" s="98"/>
      <c r="O583" s="98"/>
      <c r="P583" s="98"/>
      <c r="Q583" s="98"/>
      <c r="R583" s="98"/>
      <c r="S583" s="98"/>
      <c r="T583" s="98"/>
      <c r="U583" s="98"/>
    </row>
    <row r="584" ht="15.75" customHeight="1">
      <c r="E584" s="98"/>
      <c r="F584" s="98"/>
      <c r="G584" s="98"/>
      <c r="H584" s="98"/>
      <c r="I584" s="98"/>
      <c r="J584" s="98"/>
      <c r="K584" s="98"/>
      <c r="L584" s="98"/>
      <c r="M584" s="98"/>
      <c r="N584" s="98"/>
      <c r="O584" s="98"/>
      <c r="P584" s="98"/>
      <c r="Q584" s="98"/>
      <c r="R584" s="98"/>
      <c r="S584" s="98"/>
      <c r="T584" s="98"/>
      <c r="U584" s="98"/>
    </row>
    <row r="585" ht="15.75" customHeight="1">
      <c r="E585" s="98"/>
      <c r="F585" s="98"/>
      <c r="G585" s="98"/>
      <c r="H585" s="98"/>
      <c r="I585" s="98"/>
      <c r="J585" s="98"/>
      <c r="K585" s="98"/>
      <c r="L585" s="98"/>
      <c r="M585" s="98"/>
      <c r="N585" s="98"/>
      <c r="O585" s="98"/>
      <c r="P585" s="98"/>
      <c r="Q585" s="98"/>
      <c r="R585" s="98"/>
      <c r="S585" s="98"/>
      <c r="T585" s="98"/>
      <c r="U585" s="98"/>
    </row>
    <row r="586" ht="15.75" customHeight="1">
      <c r="E586" s="98"/>
      <c r="F586" s="98"/>
      <c r="G586" s="98"/>
      <c r="H586" s="98"/>
      <c r="I586" s="98"/>
      <c r="J586" s="98"/>
      <c r="K586" s="98"/>
      <c r="L586" s="98"/>
      <c r="M586" s="98"/>
      <c r="N586" s="98"/>
      <c r="O586" s="98"/>
      <c r="P586" s="98"/>
      <c r="Q586" s="98"/>
      <c r="R586" s="98"/>
      <c r="S586" s="98"/>
      <c r="T586" s="98"/>
      <c r="U586" s="98"/>
    </row>
    <row r="587" ht="15.75" customHeight="1">
      <c r="E587" s="98"/>
      <c r="F587" s="98"/>
      <c r="G587" s="98"/>
      <c r="H587" s="98"/>
      <c r="I587" s="98"/>
      <c r="J587" s="98"/>
      <c r="K587" s="98"/>
      <c r="L587" s="98"/>
      <c r="M587" s="98"/>
      <c r="N587" s="98"/>
      <c r="O587" s="98"/>
      <c r="P587" s="98"/>
      <c r="Q587" s="98"/>
      <c r="R587" s="98"/>
      <c r="S587" s="98"/>
      <c r="T587" s="98"/>
      <c r="U587" s="98"/>
    </row>
    <row r="588" ht="15.75" customHeight="1">
      <c r="E588" s="98"/>
      <c r="F588" s="98"/>
      <c r="G588" s="98"/>
      <c r="H588" s="98"/>
      <c r="I588" s="98"/>
      <c r="J588" s="98"/>
      <c r="K588" s="98"/>
      <c r="L588" s="98"/>
      <c r="M588" s="98"/>
      <c r="N588" s="98"/>
      <c r="O588" s="98"/>
      <c r="P588" s="98"/>
      <c r="Q588" s="98"/>
      <c r="R588" s="98"/>
      <c r="S588" s="98"/>
      <c r="T588" s="98"/>
      <c r="U588" s="98"/>
    </row>
    <row r="589" ht="15.75" customHeight="1">
      <c r="E589" s="98"/>
      <c r="F589" s="98"/>
      <c r="G589" s="98"/>
      <c r="H589" s="98"/>
      <c r="I589" s="98"/>
      <c r="J589" s="98"/>
      <c r="K589" s="98"/>
      <c r="L589" s="98"/>
      <c r="M589" s="98"/>
      <c r="N589" s="98"/>
      <c r="O589" s="98"/>
      <c r="P589" s="98"/>
      <c r="Q589" s="98"/>
      <c r="R589" s="98"/>
      <c r="S589" s="98"/>
      <c r="T589" s="98"/>
      <c r="U589" s="98"/>
    </row>
    <row r="590" ht="15.75" customHeight="1">
      <c r="E590" s="98"/>
      <c r="F590" s="98"/>
      <c r="G590" s="98"/>
      <c r="H590" s="98"/>
      <c r="I590" s="98"/>
      <c r="J590" s="98"/>
      <c r="K590" s="98"/>
      <c r="L590" s="98"/>
      <c r="M590" s="98"/>
      <c r="N590" s="98"/>
      <c r="O590" s="98"/>
      <c r="P590" s="98"/>
      <c r="Q590" s="98"/>
      <c r="R590" s="98"/>
      <c r="S590" s="98"/>
      <c r="T590" s="98"/>
      <c r="U590" s="98"/>
    </row>
    <row r="591" ht="15.75" customHeight="1">
      <c r="E591" s="98"/>
      <c r="F591" s="98"/>
      <c r="G591" s="98"/>
      <c r="H591" s="98"/>
      <c r="I591" s="98"/>
      <c r="J591" s="98"/>
      <c r="K591" s="98"/>
      <c r="L591" s="98"/>
      <c r="M591" s="98"/>
      <c r="N591" s="98"/>
      <c r="O591" s="98"/>
      <c r="P591" s="98"/>
      <c r="Q591" s="98"/>
      <c r="R591" s="98"/>
      <c r="S591" s="98"/>
      <c r="T591" s="98"/>
      <c r="U591" s="98"/>
    </row>
    <row r="592" ht="15.75" customHeight="1">
      <c r="E592" s="98"/>
      <c r="F592" s="98"/>
      <c r="G592" s="98"/>
      <c r="H592" s="98"/>
      <c r="I592" s="98"/>
      <c r="J592" s="98"/>
      <c r="K592" s="98"/>
      <c r="L592" s="98"/>
      <c r="M592" s="98"/>
      <c r="N592" s="98"/>
      <c r="O592" s="98"/>
      <c r="P592" s="98"/>
      <c r="Q592" s="98"/>
      <c r="R592" s="98"/>
      <c r="S592" s="98"/>
      <c r="T592" s="98"/>
      <c r="U592" s="98"/>
    </row>
    <row r="593" ht="15.75" customHeight="1">
      <c r="E593" s="98"/>
      <c r="F593" s="98"/>
      <c r="G593" s="98"/>
      <c r="H593" s="98"/>
      <c r="I593" s="98"/>
      <c r="J593" s="98"/>
      <c r="K593" s="98"/>
      <c r="L593" s="98"/>
      <c r="M593" s="98"/>
      <c r="N593" s="98"/>
      <c r="O593" s="98"/>
      <c r="P593" s="98"/>
      <c r="Q593" s="98"/>
      <c r="R593" s="98"/>
      <c r="S593" s="98"/>
      <c r="T593" s="98"/>
      <c r="U593" s="98"/>
    </row>
    <row r="594" ht="15.75" customHeight="1">
      <c r="E594" s="98"/>
      <c r="F594" s="98"/>
      <c r="G594" s="98"/>
      <c r="H594" s="98"/>
      <c r="I594" s="98"/>
      <c r="J594" s="98"/>
      <c r="K594" s="98"/>
      <c r="L594" s="98"/>
      <c r="M594" s="98"/>
      <c r="N594" s="98"/>
      <c r="O594" s="98"/>
      <c r="P594" s="98"/>
      <c r="Q594" s="98"/>
      <c r="R594" s="98"/>
      <c r="S594" s="98"/>
      <c r="T594" s="98"/>
      <c r="U594" s="98"/>
    </row>
    <row r="595" ht="15.75" customHeight="1">
      <c r="E595" s="98"/>
      <c r="F595" s="98"/>
      <c r="G595" s="98"/>
      <c r="H595" s="98"/>
      <c r="I595" s="98"/>
      <c r="J595" s="98"/>
      <c r="K595" s="98"/>
      <c r="L595" s="98"/>
      <c r="M595" s="98"/>
      <c r="N595" s="98"/>
      <c r="O595" s="98"/>
      <c r="P595" s="98"/>
      <c r="Q595" s="98"/>
      <c r="R595" s="98"/>
      <c r="S595" s="98"/>
      <c r="T595" s="98"/>
      <c r="U595" s="98"/>
    </row>
    <row r="596" ht="15.75" customHeight="1">
      <c r="E596" s="98"/>
      <c r="F596" s="98"/>
      <c r="G596" s="98"/>
      <c r="H596" s="98"/>
      <c r="I596" s="98"/>
      <c r="J596" s="98"/>
      <c r="K596" s="98"/>
      <c r="L596" s="98"/>
      <c r="M596" s="98"/>
      <c r="N596" s="98"/>
      <c r="O596" s="98"/>
      <c r="P596" s="98"/>
      <c r="Q596" s="98"/>
      <c r="R596" s="98"/>
      <c r="S596" s="98"/>
      <c r="T596" s="98"/>
      <c r="U596" s="98"/>
    </row>
    <row r="597" ht="15.75" customHeight="1">
      <c r="E597" s="98"/>
      <c r="F597" s="98"/>
      <c r="G597" s="98"/>
      <c r="H597" s="98"/>
      <c r="I597" s="98"/>
      <c r="J597" s="98"/>
      <c r="K597" s="98"/>
      <c r="L597" s="98"/>
      <c r="M597" s="98"/>
      <c r="N597" s="98"/>
      <c r="O597" s="98"/>
      <c r="P597" s="98"/>
      <c r="Q597" s="98"/>
      <c r="R597" s="98"/>
      <c r="S597" s="98"/>
      <c r="T597" s="98"/>
      <c r="U597" s="98"/>
    </row>
    <row r="598" ht="15.75" customHeight="1">
      <c r="E598" s="98"/>
      <c r="F598" s="98"/>
      <c r="G598" s="98"/>
      <c r="H598" s="98"/>
      <c r="I598" s="98"/>
      <c r="J598" s="98"/>
      <c r="K598" s="98"/>
      <c r="L598" s="98"/>
      <c r="M598" s="98"/>
      <c r="N598" s="98"/>
      <c r="O598" s="98"/>
      <c r="P598" s="98"/>
      <c r="Q598" s="98"/>
      <c r="R598" s="98"/>
      <c r="S598" s="98"/>
      <c r="T598" s="98"/>
      <c r="U598" s="98"/>
    </row>
    <row r="599" ht="15.75" customHeight="1">
      <c r="E599" s="98"/>
      <c r="F599" s="98"/>
      <c r="G599" s="98"/>
      <c r="H599" s="98"/>
      <c r="I599" s="98"/>
      <c r="J599" s="98"/>
      <c r="K599" s="98"/>
      <c r="L599" s="98"/>
      <c r="M599" s="98"/>
      <c r="N599" s="98"/>
      <c r="O599" s="98"/>
      <c r="P599" s="98"/>
      <c r="Q599" s="98"/>
      <c r="R599" s="98"/>
      <c r="S599" s="98"/>
      <c r="T599" s="98"/>
      <c r="U599" s="98"/>
    </row>
    <row r="600" ht="15.75" customHeight="1">
      <c r="E600" s="98"/>
      <c r="F600" s="98"/>
      <c r="G600" s="98"/>
      <c r="H600" s="98"/>
      <c r="I600" s="98"/>
      <c r="J600" s="98"/>
      <c r="K600" s="98"/>
      <c r="L600" s="98"/>
      <c r="M600" s="98"/>
      <c r="N600" s="98"/>
      <c r="O600" s="98"/>
      <c r="P600" s="98"/>
      <c r="Q600" s="98"/>
      <c r="R600" s="98"/>
      <c r="S600" s="98"/>
      <c r="T600" s="98"/>
      <c r="U600" s="98"/>
    </row>
    <row r="601" ht="15.75" customHeight="1">
      <c r="E601" s="98"/>
      <c r="F601" s="98"/>
      <c r="G601" s="98"/>
      <c r="H601" s="98"/>
      <c r="I601" s="98"/>
      <c r="J601" s="98"/>
      <c r="K601" s="98"/>
      <c r="L601" s="98"/>
      <c r="M601" s="98"/>
      <c r="N601" s="98"/>
      <c r="O601" s="98"/>
      <c r="P601" s="98"/>
      <c r="Q601" s="98"/>
      <c r="R601" s="98"/>
      <c r="S601" s="98"/>
      <c r="T601" s="98"/>
      <c r="U601" s="98"/>
    </row>
    <row r="602" ht="15.75" customHeight="1">
      <c r="E602" s="98"/>
      <c r="F602" s="98"/>
      <c r="G602" s="98"/>
      <c r="H602" s="98"/>
      <c r="I602" s="98"/>
      <c r="J602" s="98"/>
      <c r="K602" s="98"/>
      <c r="L602" s="98"/>
      <c r="M602" s="98"/>
      <c r="N602" s="98"/>
      <c r="O602" s="98"/>
      <c r="P602" s="98"/>
      <c r="Q602" s="98"/>
      <c r="R602" s="98"/>
      <c r="S602" s="98"/>
      <c r="T602" s="98"/>
      <c r="U602" s="98"/>
    </row>
    <row r="603" ht="15.75" customHeight="1">
      <c r="E603" s="98"/>
      <c r="F603" s="98"/>
      <c r="G603" s="98"/>
      <c r="H603" s="98"/>
      <c r="I603" s="98"/>
      <c r="J603" s="98"/>
      <c r="K603" s="98"/>
      <c r="L603" s="98"/>
      <c r="M603" s="98"/>
      <c r="N603" s="98"/>
      <c r="O603" s="98"/>
      <c r="P603" s="98"/>
      <c r="Q603" s="98"/>
      <c r="R603" s="98"/>
      <c r="S603" s="98"/>
      <c r="T603" s="98"/>
      <c r="U603" s="98"/>
    </row>
    <row r="604" ht="15.75" customHeight="1">
      <c r="E604" s="98"/>
      <c r="F604" s="98"/>
      <c r="G604" s="98"/>
      <c r="H604" s="98"/>
      <c r="I604" s="98"/>
      <c r="J604" s="98"/>
      <c r="K604" s="98"/>
      <c r="L604" s="98"/>
      <c r="M604" s="98"/>
      <c r="N604" s="98"/>
      <c r="O604" s="98"/>
      <c r="P604" s="98"/>
      <c r="Q604" s="98"/>
      <c r="R604" s="98"/>
      <c r="S604" s="98"/>
      <c r="T604" s="98"/>
      <c r="U604" s="98"/>
    </row>
    <row r="605" ht="15.75" customHeight="1">
      <c r="E605" s="98"/>
      <c r="F605" s="98"/>
      <c r="G605" s="98"/>
      <c r="H605" s="98"/>
      <c r="I605" s="98"/>
      <c r="J605" s="98"/>
      <c r="K605" s="98"/>
      <c r="L605" s="98"/>
      <c r="M605" s="98"/>
      <c r="N605" s="98"/>
      <c r="O605" s="98"/>
      <c r="P605" s="98"/>
      <c r="Q605" s="98"/>
      <c r="R605" s="98"/>
      <c r="S605" s="98"/>
      <c r="T605" s="98"/>
      <c r="U605" s="98"/>
    </row>
    <row r="606" ht="15.75" customHeight="1">
      <c r="E606" s="98"/>
      <c r="F606" s="98"/>
      <c r="G606" s="98"/>
      <c r="H606" s="98"/>
      <c r="I606" s="98"/>
      <c r="J606" s="98"/>
      <c r="K606" s="98"/>
      <c r="L606" s="98"/>
      <c r="M606" s="98"/>
      <c r="N606" s="98"/>
      <c r="O606" s="98"/>
      <c r="P606" s="98"/>
      <c r="Q606" s="98"/>
      <c r="R606" s="98"/>
      <c r="S606" s="98"/>
      <c r="T606" s="98"/>
      <c r="U606" s="98"/>
    </row>
    <row r="607" ht="15.75" customHeight="1">
      <c r="E607" s="98"/>
      <c r="F607" s="98"/>
      <c r="G607" s="98"/>
      <c r="H607" s="98"/>
      <c r="I607" s="98"/>
      <c r="J607" s="98"/>
      <c r="K607" s="98"/>
      <c r="L607" s="98"/>
      <c r="M607" s="98"/>
      <c r="N607" s="98"/>
      <c r="O607" s="98"/>
      <c r="P607" s="98"/>
      <c r="Q607" s="98"/>
      <c r="R607" s="98"/>
      <c r="S607" s="98"/>
      <c r="T607" s="98"/>
      <c r="U607" s="98"/>
    </row>
    <row r="608" ht="15.75" customHeight="1">
      <c r="E608" s="98"/>
      <c r="F608" s="98"/>
      <c r="G608" s="98"/>
      <c r="H608" s="98"/>
      <c r="I608" s="98"/>
      <c r="J608" s="98"/>
      <c r="K608" s="98"/>
      <c r="L608" s="98"/>
      <c r="M608" s="98"/>
      <c r="N608" s="98"/>
      <c r="O608" s="98"/>
      <c r="P608" s="98"/>
      <c r="Q608" s="98"/>
      <c r="R608" s="98"/>
      <c r="S608" s="98"/>
      <c r="T608" s="98"/>
      <c r="U608" s="98"/>
    </row>
    <row r="609" ht="15.75" customHeight="1">
      <c r="E609" s="98"/>
      <c r="F609" s="98"/>
      <c r="G609" s="98"/>
      <c r="H609" s="98"/>
      <c r="I609" s="98"/>
      <c r="J609" s="98"/>
      <c r="K609" s="98"/>
      <c r="L609" s="98"/>
      <c r="M609" s="98"/>
      <c r="N609" s="98"/>
      <c r="O609" s="98"/>
      <c r="P609" s="98"/>
      <c r="Q609" s="98"/>
      <c r="R609" s="98"/>
      <c r="S609" s="98"/>
      <c r="T609" s="98"/>
      <c r="U609" s="98"/>
    </row>
    <row r="610" ht="15.75" customHeight="1">
      <c r="E610" s="98"/>
      <c r="F610" s="98"/>
      <c r="G610" s="98"/>
      <c r="H610" s="98"/>
      <c r="I610" s="98"/>
      <c r="J610" s="98"/>
      <c r="K610" s="98"/>
      <c r="L610" s="98"/>
      <c r="M610" s="98"/>
      <c r="N610" s="98"/>
      <c r="O610" s="98"/>
      <c r="P610" s="98"/>
      <c r="Q610" s="98"/>
      <c r="R610" s="98"/>
      <c r="S610" s="98"/>
      <c r="T610" s="98"/>
      <c r="U610" s="98"/>
    </row>
    <row r="611" ht="15.75" customHeight="1">
      <c r="E611" s="98"/>
      <c r="F611" s="98"/>
      <c r="G611" s="98"/>
      <c r="H611" s="98"/>
      <c r="I611" s="98"/>
      <c r="J611" s="98"/>
      <c r="K611" s="98"/>
      <c r="L611" s="98"/>
      <c r="M611" s="98"/>
      <c r="N611" s="98"/>
      <c r="O611" s="98"/>
      <c r="P611" s="98"/>
      <c r="Q611" s="98"/>
      <c r="R611" s="98"/>
      <c r="S611" s="98"/>
      <c r="T611" s="98"/>
      <c r="U611" s="98"/>
    </row>
    <row r="612" ht="15.75" customHeight="1">
      <c r="E612" s="98"/>
      <c r="F612" s="98"/>
      <c r="G612" s="98"/>
      <c r="H612" s="98"/>
      <c r="I612" s="98"/>
      <c r="J612" s="98"/>
      <c r="K612" s="98"/>
      <c r="L612" s="98"/>
      <c r="M612" s="98"/>
      <c r="N612" s="98"/>
      <c r="O612" s="98"/>
      <c r="P612" s="98"/>
      <c r="Q612" s="98"/>
      <c r="R612" s="98"/>
      <c r="S612" s="98"/>
      <c r="T612" s="98"/>
      <c r="U612" s="98"/>
    </row>
    <row r="613" ht="15.75" customHeight="1">
      <c r="E613" s="98"/>
      <c r="F613" s="98"/>
      <c r="G613" s="98"/>
      <c r="H613" s="98"/>
      <c r="I613" s="98"/>
      <c r="J613" s="98"/>
      <c r="K613" s="98"/>
      <c r="L613" s="98"/>
      <c r="M613" s="98"/>
      <c r="N613" s="98"/>
      <c r="O613" s="98"/>
      <c r="P613" s="98"/>
      <c r="Q613" s="98"/>
      <c r="R613" s="98"/>
      <c r="S613" s="98"/>
      <c r="T613" s="98"/>
      <c r="U613" s="98"/>
    </row>
    <row r="614" ht="15.75" customHeight="1">
      <c r="E614" s="98"/>
      <c r="F614" s="98"/>
      <c r="G614" s="98"/>
      <c r="H614" s="98"/>
      <c r="I614" s="98"/>
      <c r="J614" s="98"/>
      <c r="K614" s="98"/>
      <c r="L614" s="98"/>
      <c r="M614" s="98"/>
      <c r="N614" s="98"/>
      <c r="O614" s="98"/>
      <c r="P614" s="98"/>
      <c r="Q614" s="98"/>
      <c r="R614" s="98"/>
      <c r="S614" s="98"/>
      <c r="T614" s="98"/>
      <c r="U614" s="98"/>
    </row>
    <row r="615" ht="15.75" customHeight="1">
      <c r="E615" s="98"/>
      <c r="F615" s="98"/>
      <c r="G615" s="98"/>
      <c r="H615" s="98"/>
      <c r="I615" s="98"/>
      <c r="J615" s="98"/>
      <c r="K615" s="98"/>
      <c r="L615" s="98"/>
      <c r="M615" s="98"/>
      <c r="N615" s="98"/>
      <c r="O615" s="98"/>
      <c r="P615" s="98"/>
      <c r="Q615" s="98"/>
      <c r="R615" s="98"/>
      <c r="S615" s="98"/>
      <c r="T615" s="98"/>
      <c r="U615" s="98"/>
    </row>
    <row r="616" ht="15.75" customHeight="1">
      <c r="E616" s="98"/>
      <c r="F616" s="98"/>
      <c r="G616" s="98"/>
      <c r="H616" s="98"/>
      <c r="I616" s="98"/>
      <c r="J616" s="98"/>
      <c r="K616" s="98"/>
      <c r="L616" s="98"/>
      <c r="M616" s="98"/>
      <c r="N616" s="98"/>
      <c r="O616" s="98"/>
      <c r="P616" s="98"/>
      <c r="Q616" s="98"/>
      <c r="R616" s="98"/>
      <c r="S616" s="98"/>
      <c r="T616" s="98"/>
      <c r="U616" s="98"/>
    </row>
    <row r="617" ht="15.75" customHeight="1">
      <c r="E617" s="98"/>
      <c r="F617" s="98"/>
      <c r="G617" s="98"/>
      <c r="H617" s="98"/>
      <c r="I617" s="98"/>
      <c r="J617" s="98"/>
      <c r="K617" s="98"/>
      <c r="L617" s="98"/>
      <c r="M617" s="98"/>
      <c r="N617" s="98"/>
      <c r="O617" s="98"/>
      <c r="P617" s="98"/>
      <c r="Q617" s="98"/>
      <c r="R617" s="98"/>
      <c r="S617" s="98"/>
      <c r="T617" s="98"/>
      <c r="U617" s="98"/>
    </row>
    <row r="618" ht="15.75" customHeight="1">
      <c r="E618" s="98"/>
      <c r="F618" s="98"/>
      <c r="G618" s="98"/>
      <c r="H618" s="98"/>
      <c r="I618" s="98"/>
      <c r="J618" s="98"/>
      <c r="K618" s="98"/>
      <c r="L618" s="98"/>
      <c r="M618" s="98"/>
      <c r="N618" s="98"/>
      <c r="O618" s="98"/>
      <c r="P618" s="98"/>
      <c r="Q618" s="98"/>
      <c r="R618" s="98"/>
      <c r="S618" s="98"/>
      <c r="T618" s="98"/>
      <c r="U618" s="98"/>
    </row>
    <row r="619" ht="15.75" customHeight="1">
      <c r="E619" s="98"/>
      <c r="F619" s="98"/>
      <c r="G619" s="98"/>
      <c r="H619" s="98"/>
      <c r="I619" s="98"/>
      <c r="J619" s="98"/>
      <c r="K619" s="98"/>
      <c r="L619" s="98"/>
      <c r="M619" s="98"/>
      <c r="N619" s="98"/>
      <c r="O619" s="98"/>
      <c r="P619" s="98"/>
      <c r="Q619" s="98"/>
      <c r="R619" s="98"/>
      <c r="S619" s="98"/>
      <c r="T619" s="98"/>
      <c r="U619" s="98"/>
    </row>
    <row r="620" ht="15.75" customHeight="1">
      <c r="E620" s="98"/>
      <c r="F620" s="98"/>
      <c r="G620" s="98"/>
      <c r="H620" s="98"/>
      <c r="I620" s="98"/>
      <c r="J620" s="98"/>
      <c r="K620" s="98"/>
      <c r="L620" s="98"/>
      <c r="M620" s="98"/>
      <c r="N620" s="98"/>
      <c r="O620" s="98"/>
      <c r="P620" s="98"/>
      <c r="Q620" s="98"/>
      <c r="R620" s="98"/>
      <c r="S620" s="98"/>
      <c r="T620" s="98"/>
      <c r="U620" s="98"/>
    </row>
    <row r="621" ht="15.75" customHeight="1">
      <c r="E621" s="98"/>
      <c r="F621" s="98"/>
      <c r="G621" s="98"/>
      <c r="H621" s="98"/>
      <c r="I621" s="98"/>
      <c r="J621" s="98"/>
      <c r="K621" s="98"/>
      <c r="L621" s="98"/>
      <c r="M621" s="98"/>
      <c r="N621" s="98"/>
      <c r="O621" s="98"/>
      <c r="P621" s="98"/>
      <c r="Q621" s="98"/>
      <c r="R621" s="98"/>
      <c r="S621" s="98"/>
      <c r="T621" s="98"/>
      <c r="U621" s="98"/>
    </row>
    <row r="622" ht="15.75" customHeight="1">
      <c r="E622" s="98"/>
      <c r="F622" s="98"/>
      <c r="G622" s="98"/>
      <c r="H622" s="98"/>
      <c r="I622" s="98"/>
      <c r="J622" s="98"/>
      <c r="K622" s="98"/>
      <c r="L622" s="98"/>
      <c r="M622" s="98"/>
      <c r="N622" s="98"/>
      <c r="O622" s="98"/>
      <c r="P622" s="98"/>
      <c r="Q622" s="98"/>
      <c r="R622" s="98"/>
      <c r="S622" s="98"/>
      <c r="T622" s="98"/>
      <c r="U622" s="98"/>
    </row>
    <row r="623" ht="15.75" customHeight="1">
      <c r="E623" s="98"/>
      <c r="F623" s="98"/>
      <c r="G623" s="98"/>
      <c r="H623" s="98"/>
      <c r="I623" s="98"/>
      <c r="J623" s="98"/>
      <c r="K623" s="98"/>
      <c r="L623" s="98"/>
      <c r="M623" s="98"/>
      <c r="N623" s="98"/>
      <c r="O623" s="98"/>
      <c r="P623" s="98"/>
      <c r="Q623" s="98"/>
      <c r="R623" s="98"/>
      <c r="S623" s="98"/>
      <c r="T623" s="98"/>
      <c r="U623" s="98"/>
    </row>
    <row r="624" ht="15.75" customHeight="1">
      <c r="E624" s="98"/>
      <c r="F624" s="98"/>
      <c r="G624" s="98"/>
      <c r="H624" s="98"/>
      <c r="I624" s="98"/>
      <c r="J624" s="98"/>
      <c r="K624" s="98"/>
      <c r="L624" s="98"/>
      <c r="M624" s="98"/>
      <c r="N624" s="98"/>
      <c r="O624" s="98"/>
      <c r="P624" s="98"/>
      <c r="Q624" s="98"/>
      <c r="R624" s="98"/>
      <c r="S624" s="98"/>
      <c r="T624" s="98"/>
      <c r="U624" s="98"/>
    </row>
    <row r="625" ht="15.75" customHeight="1">
      <c r="E625" s="98"/>
      <c r="F625" s="98"/>
      <c r="G625" s="98"/>
      <c r="H625" s="98"/>
      <c r="I625" s="98"/>
      <c r="J625" s="98"/>
      <c r="K625" s="98"/>
      <c r="L625" s="98"/>
      <c r="M625" s="98"/>
      <c r="N625" s="98"/>
      <c r="O625" s="98"/>
      <c r="P625" s="98"/>
      <c r="Q625" s="98"/>
      <c r="R625" s="98"/>
      <c r="S625" s="98"/>
      <c r="T625" s="98"/>
      <c r="U625" s="98"/>
    </row>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6.75"/>
    <col customWidth="1" min="3" max="3" width="37.25"/>
    <col customWidth="1" min="4" max="4" width="62.5"/>
    <col customWidth="1" min="5" max="5" width="21.63"/>
    <col customWidth="1" min="6" max="6" width="43.88"/>
    <col customWidth="1" min="7" max="7" width="14.38"/>
  </cols>
  <sheetData>
    <row r="1" ht="24.75" customHeight="1">
      <c r="A1" s="36" t="s">
        <v>41</v>
      </c>
      <c r="B1" s="37" t="s">
        <v>42</v>
      </c>
      <c r="C1" s="38" t="s">
        <v>16</v>
      </c>
      <c r="D1" s="38" t="s">
        <v>17</v>
      </c>
      <c r="E1" s="39" t="s">
        <v>43</v>
      </c>
      <c r="F1" s="38" t="s">
        <v>44</v>
      </c>
      <c r="G1" s="40" t="s">
        <v>45</v>
      </c>
    </row>
    <row r="2" ht="24.75" customHeight="1">
      <c r="A2" s="41" t="s">
        <v>46</v>
      </c>
      <c r="B2" s="42" t="s">
        <v>47</v>
      </c>
      <c r="C2" s="43"/>
      <c r="D2" s="44" t="s">
        <v>26</v>
      </c>
      <c r="E2" s="45" t="s">
        <v>48</v>
      </c>
      <c r="F2" s="44" t="s">
        <v>44</v>
      </c>
      <c r="G2" s="46" t="s">
        <v>49</v>
      </c>
    </row>
    <row r="3" ht="24.75" customHeight="1">
      <c r="A3" s="47" t="s">
        <v>50</v>
      </c>
      <c r="B3" s="48" t="s">
        <v>47</v>
      </c>
      <c r="C3" s="49" t="s">
        <v>51</v>
      </c>
      <c r="D3" s="50" t="s">
        <v>52</v>
      </c>
      <c r="E3" s="51">
        <v>7000.0</v>
      </c>
      <c r="F3" s="52" t="s">
        <v>53</v>
      </c>
      <c r="G3" s="53" t="s">
        <v>54</v>
      </c>
    </row>
    <row r="4" ht="24.75" customHeight="1">
      <c r="A4" s="54" t="s">
        <v>55</v>
      </c>
      <c r="B4" s="42" t="s">
        <v>47</v>
      </c>
      <c r="C4" s="44" t="s">
        <v>51</v>
      </c>
      <c r="D4" s="55" t="s">
        <v>56</v>
      </c>
      <c r="E4" s="56">
        <v>33000.0</v>
      </c>
      <c r="F4" s="57" t="s">
        <v>57</v>
      </c>
      <c r="G4" s="46" t="s">
        <v>58</v>
      </c>
    </row>
    <row r="5" ht="24.75" customHeight="1">
      <c r="A5" s="47" t="s">
        <v>59</v>
      </c>
      <c r="B5" s="48" t="s">
        <v>47</v>
      </c>
      <c r="C5" s="49" t="s">
        <v>51</v>
      </c>
      <c r="D5" s="50" t="s">
        <v>60</v>
      </c>
      <c r="E5" s="51">
        <v>104000.0</v>
      </c>
      <c r="F5" s="58" t="s">
        <v>61</v>
      </c>
      <c r="G5" s="53" t="s">
        <v>58</v>
      </c>
    </row>
    <row r="6" ht="24.75" customHeight="1">
      <c r="A6" s="54" t="s">
        <v>62</v>
      </c>
      <c r="B6" s="42" t="s">
        <v>47</v>
      </c>
      <c r="C6" s="44" t="s">
        <v>51</v>
      </c>
      <c r="D6" s="55" t="s">
        <v>63</v>
      </c>
      <c r="E6" s="56">
        <v>119000.0</v>
      </c>
      <c r="F6" s="59" t="s">
        <v>61</v>
      </c>
      <c r="G6" s="46" t="s">
        <v>58</v>
      </c>
    </row>
    <row r="7" ht="24.75" customHeight="1">
      <c r="A7" s="47" t="s">
        <v>64</v>
      </c>
      <c r="B7" s="48" t="s">
        <v>47</v>
      </c>
      <c r="C7" s="49" t="s">
        <v>51</v>
      </c>
      <c r="D7" s="50" t="s">
        <v>65</v>
      </c>
      <c r="E7" s="51">
        <v>215000.0</v>
      </c>
      <c r="F7" s="58" t="s">
        <v>66</v>
      </c>
      <c r="G7" s="53" t="s">
        <v>58</v>
      </c>
    </row>
    <row r="8" ht="24.75" customHeight="1">
      <c r="A8" s="54" t="s">
        <v>67</v>
      </c>
      <c r="B8" s="42" t="s">
        <v>47</v>
      </c>
      <c r="C8" s="44" t="s">
        <v>51</v>
      </c>
      <c r="D8" s="55" t="s">
        <v>68</v>
      </c>
      <c r="E8" s="56">
        <v>3800.0</v>
      </c>
      <c r="F8" s="59" t="s">
        <v>69</v>
      </c>
      <c r="G8" s="46" t="s">
        <v>58</v>
      </c>
    </row>
    <row r="9" ht="24.75" customHeight="1">
      <c r="A9" s="47" t="s">
        <v>70</v>
      </c>
      <c r="B9" s="48" t="s">
        <v>47</v>
      </c>
      <c r="C9" s="49" t="s">
        <v>51</v>
      </c>
      <c r="D9" s="50" t="s">
        <v>71</v>
      </c>
      <c r="E9" s="51">
        <v>3800.0</v>
      </c>
      <c r="F9" s="58" t="s">
        <v>72</v>
      </c>
      <c r="G9" s="53" t="s">
        <v>58</v>
      </c>
    </row>
    <row r="10" ht="24.75" customHeight="1">
      <c r="A10" s="54" t="s">
        <v>73</v>
      </c>
      <c r="B10" s="42" t="s">
        <v>47</v>
      </c>
      <c r="C10" s="44" t="s">
        <v>51</v>
      </c>
      <c r="D10" s="55" t="s">
        <v>74</v>
      </c>
      <c r="E10" s="56">
        <v>29000.0</v>
      </c>
      <c r="F10" s="59" t="s">
        <v>75</v>
      </c>
      <c r="G10" s="46" t="s">
        <v>54</v>
      </c>
    </row>
    <row r="11" ht="24.75" customHeight="1">
      <c r="A11" s="47" t="s">
        <v>76</v>
      </c>
      <c r="B11" s="48" t="s">
        <v>47</v>
      </c>
      <c r="C11" s="49" t="s">
        <v>51</v>
      </c>
      <c r="D11" s="50" t="s">
        <v>77</v>
      </c>
      <c r="E11" s="51">
        <v>77000.0</v>
      </c>
      <c r="F11" s="58" t="s">
        <v>78</v>
      </c>
      <c r="G11" s="53" t="s">
        <v>54</v>
      </c>
    </row>
    <row r="12" ht="24.75" customHeight="1">
      <c r="A12" s="61" t="s">
        <v>79</v>
      </c>
      <c r="B12" s="42" t="s">
        <v>47</v>
      </c>
      <c r="C12" s="44" t="s">
        <v>51</v>
      </c>
      <c r="D12" s="55" t="s">
        <v>80</v>
      </c>
      <c r="E12" s="56">
        <v>1700.0</v>
      </c>
      <c r="F12" s="57" t="s">
        <v>81</v>
      </c>
      <c r="G12" s="46" t="s">
        <v>54</v>
      </c>
    </row>
    <row r="13" ht="24.75" customHeight="1">
      <c r="A13" s="53" t="s">
        <v>82</v>
      </c>
      <c r="B13" s="48" t="s">
        <v>47</v>
      </c>
      <c r="C13" s="49" t="s">
        <v>51</v>
      </c>
      <c r="D13" s="50"/>
      <c r="E13" s="51"/>
      <c r="F13" s="52"/>
      <c r="G13" s="53" t="s">
        <v>54</v>
      </c>
    </row>
    <row r="14" ht="24.75" customHeight="1">
      <c r="A14" s="41" t="s">
        <v>83</v>
      </c>
      <c r="B14" s="42" t="s">
        <v>47</v>
      </c>
      <c r="C14" s="43"/>
      <c r="D14" s="44" t="s">
        <v>34</v>
      </c>
      <c r="E14" s="45" t="s">
        <v>48</v>
      </c>
      <c r="F14" s="44" t="s">
        <v>44</v>
      </c>
      <c r="G14" s="46" t="s">
        <v>49</v>
      </c>
    </row>
    <row r="15" ht="24.75" customHeight="1">
      <c r="A15" s="47" t="s">
        <v>84</v>
      </c>
      <c r="B15" s="48" t="s">
        <v>47</v>
      </c>
      <c r="C15" s="49" t="s">
        <v>85</v>
      </c>
      <c r="D15" s="48" t="s">
        <v>86</v>
      </c>
      <c r="E15" s="51">
        <v>146000.0</v>
      </c>
      <c r="F15" s="58" t="s">
        <v>87</v>
      </c>
      <c r="G15" s="53" t="s">
        <v>58</v>
      </c>
    </row>
    <row r="16" ht="24.75" customHeight="1">
      <c r="A16" s="54" t="s">
        <v>88</v>
      </c>
      <c r="B16" s="42" t="s">
        <v>47</v>
      </c>
      <c r="C16" s="44" t="s">
        <v>85</v>
      </c>
      <c r="D16" s="42" t="s">
        <v>35</v>
      </c>
      <c r="E16" s="56">
        <v>222000.0</v>
      </c>
      <c r="F16" s="59" t="s">
        <v>89</v>
      </c>
      <c r="G16" s="46" t="s">
        <v>58</v>
      </c>
    </row>
    <row r="17" ht="24.75" customHeight="1">
      <c r="A17" s="47" t="s">
        <v>90</v>
      </c>
      <c r="B17" s="48" t="s">
        <v>47</v>
      </c>
      <c r="C17" s="49" t="s">
        <v>85</v>
      </c>
      <c r="D17" s="48" t="s">
        <v>91</v>
      </c>
      <c r="E17" s="51">
        <v>200000.0</v>
      </c>
      <c r="F17" s="58" t="s">
        <v>89</v>
      </c>
      <c r="G17" s="53" t="s">
        <v>58</v>
      </c>
    </row>
    <row r="18" ht="24.75" customHeight="1">
      <c r="A18" s="54" t="s">
        <v>92</v>
      </c>
      <c r="B18" s="42" t="s">
        <v>47</v>
      </c>
      <c r="C18" s="44" t="s">
        <v>85</v>
      </c>
      <c r="D18" s="42" t="s">
        <v>36</v>
      </c>
      <c r="E18" s="56">
        <v>289000.0</v>
      </c>
      <c r="F18" s="59" t="s">
        <v>89</v>
      </c>
      <c r="G18" s="46" t="s">
        <v>58</v>
      </c>
    </row>
    <row r="19" ht="24.75" customHeight="1">
      <c r="A19" s="47" t="s">
        <v>93</v>
      </c>
      <c r="B19" s="48" t="s">
        <v>47</v>
      </c>
      <c r="C19" s="49" t="s">
        <v>85</v>
      </c>
      <c r="D19" s="48" t="s">
        <v>94</v>
      </c>
      <c r="E19" s="51">
        <v>376000.0</v>
      </c>
      <c r="F19" s="58" t="s">
        <v>89</v>
      </c>
      <c r="G19" s="53" t="s">
        <v>58</v>
      </c>
    </row>
    <row r="20" ht="24.75" customHeight="1">
      <c r="A20" s="54" t="s">
        <v>95</v>
      </c>
      <c r="B20" s="42" t="s">
        <v>47</v>
      </c>
      <c r="C20" s="44" t="s">
        <v>85</v>
      </c>
      <c r="D20" s="42" t="s">
        <v>96</v>
      </c>
      <c r="E20" s="56">
        <v>564000.0</v>
      </c>
      <c r="F20" s="59" t="s">
        <v>89</v>
      </c>
      <c r="G20" s="46" t="s">
        <v>58</v>
      </c>
    </row>
    <row r="21" ht="24.75" customHeight="1">
      <c r="A21" s="47" t="s">
        <v>97</v>
      </c>
      <c r="B21" s="48" t="s">
        <v>47</v>
      </c>
      <c r="C21" s="49" t="s">
        <v>85</v>
      </c>
      <c r="D21" s="48" t="s">
        <v>98</v>
      </c>
      <c r="E21" s="51">
        <v>26900.0</v>
      </c>
      <c r="F21" s="52" t="s">
        <v>99</v>
      </c>
      <c r="G21" s="53" t="s">
        <v>58</v>
      </c>
    </row>
    <row r="22" ht="24.75" hidden="1" customHeight="1">
      <c r="A22" s="54"/>
      <c r="B22" s="42"/>
      <c r="C22" s="44" t="s">
        <v>85</v>
      </c>
      <c r="D22" s="42" t="s">
        <v>100</v>
      </c>
      <c r="E22" s="56">
        <v>26900.0</v>
      </c>
      <c r="F22" s="57" t="s">
        <v>99</v>
      </c>
      <c r="G22" s="46"/>
    </row>
    <row r="23" ht="24.75" customHeight="1">
      <c r="A23" s="47" t="s">
        <v>101</v>
      </c>
      <c r="B23" s="48" t="s">
        <v>47</v>
      </c>
      <c r="C23" s="49" t="s">
        <v>85</v>
      </c>
      <c r="D23" s="48" t="s">
        <v>102</v>
      </c>
      <c r="E23" s="51">
        <v>66600.0</v>
      </c>
      <c r="F23" s="52" t="s">
        <v>103</v>
      </c>
      <c r="G23" s="53" t="s">
        <v>58</v>
      </c>
    </row>
    <row r="24" ht="24.75" hidden="1" customHeight="1">
      <c r="A24" s="54"/>
      <c r="B24" s="42"/>
      <c r="C24" s="44" t="s">
        <v>85</v>
      </c>
      <c r="D24" s="42" t="s">
        <v>104</v>
      </c>
      <c r="E24" s="56">
        <v>66600.0</v>
      </c>
      <c r="F24" s="57" t="s">
        <v>105</v>
      </c>
      <c r="G24" s="46"/>
    </row>
    <row r="25" ht="24.75" customHeight="1">
      <c r="A25" s="47" t="s">
        <v>106</v>
      </c>
      <c r="B25" s="48" t="s">
        <v>47</v>
      </c>
      <c r="C25" s="49" t="s">
        <v>85</v>
      </c>
      <c r="D25" s="48" t="s">
        <v>107</v>
      </c>
      <c r="E25" s="51">
        <v>96600.0</v>
      </c>
      <c r="F25" s="52" t="s">
        <v>103</v>
      </c>
      <c r="G25" s="53" t="s">
        <v>58</v>
      </c>
    </row>
    <row r="26" ht="24.75" customHeight="1">
      <c r="A26" s="54" t="s">
        <v>108</v>
      </c>
      <c r="B26" s="42" t="s">
        <v>47</v>
      </c>
      <c r="C26" s="44" t="s">
        <v>85</v>
      </c>
      <c r="D26" s="42" t="s">
        <v>109</v>
      </c>
      <c r="E26" s="56">
        <v>110800.0</v>
      </c>
      <c r="F26" s="57" t="s">
        <v>110</v>
      </c>
      <c r="G26" s="46" t="s">
        <v>58</v>
      </c>
    </row>
    <row r="27" ht="32.25" customHeight="1">
      <c r="A27" s="62" t="s">
        <v>111</v>
      </c>
      <c r="B27" s="48" t="s">
        <v>47</v>
      </c>
      <c r="C27" s="49" t="s">
        <v>85</v>
      </c>
      <c r="D27" s="48" t="s">
        <v>112</v>
      </c>
      <c r="E27" s="51">
        <v>27500.0</v>
      </c>
      <c r="F27" s="58" t="s">
        <v>113</v>
      </c>
      <c r="G27" s="53" t="s">
        <v>58</v>
      </c>
    </row>
    <row r="28" ht="33.75" customHeight="1">
      <c r="A28" s="61" t="s">
        <v>114</v>
      </c>
      <c r="B28" s="42" t="s">
        <v>47</v>
      </c>
      <c r="C28" s="44" t="s">
        <v>85</v>
      </c>
      <c r="D28" s="42" t="s">
        <v>115</v>
      </c>
      <c r="E28" s="56">
        <v>19300.0</v>
      </c>
      <c r="F28" s="59" t="s">
        <v>116</v>
      </c>
      <c r="G28" s="46" t="s">
        <v>58</v>
      </c>
    </row>
    <row r="29" ht="53.25" customHeight="1">
      <c r="A29" s="62" t="s">
        <v>117</v>
      </c>
      <c r="B29" s="48" t="s">
        <v>47</v>
      </c>
      <c r="C29" s="49" t="s">
        <v>85</v>
      </c>
      <c r="D29" s="50" t="s">
        <v>118</v>
      </c>
      <c r="E29" s="51">
        <v>95700.0</v>
      </c>
      <c r="F29" s="52" t="s">
        <v>119</v>
      </c>
      <c r="G29" s="53" t="s">
        <v>58</v>
      </c>
    </row>
    <row r="30" ht="24.75" customHeight="1">
      <c r="A30" s="41" t="s">
        <v>120</v>
      </c>
      <c r="B30" s="42" t="s">
        <v>47</v>
      </c>
      <c r="C30" s="43"/>
      <c r="D30" s="44" t="s">
        <v>121</v>
      </c>
      <c r="E30" s="45" t="s">
        <v>48</v>
      </c>
      <c r="F30" s="44" t="s">
        <v>44</v>
      </c>
      <c r="G30" s="46" t="s">
        <v>58</v>
      </c>
    </row>
    <row r="31" ht="24.75" customHeight="1">
      <c r="A31" s="47" t="s">
        <v>122</v>
      </c>
      <c r="B31" s="48" t="s">
        <v>47</v>
      </c>
      <c r="C31" s="49" t="s">
        <v>123</v>
      </c>
      <c r="D31" s="48" t="s">
        <v>124</v>
      </c>
      <c r="E31" s="51">
        <v>39100.0</v>
      </c>
      <c r="F31" s="58" t="s">
        <v>125</v>
      </c>
      <c r="G31" s="53" t="s">
        <v>58</v>
      </c>
    </row>
    <row r="32" ht="24.75" customHeight="1">
      <c r="A32" s="54" t="s">
        <v>126</v>
      </c>
      <c r="B32" s="42" t="s">
        <v>47</v>
      </c>
      <c r="C32" s="44" t="s">
        <v>123</v>
      </c>
      <c r="D32" s="42" t="s">
        <v>127</v>
      </c>
      <c r="E32" s="56">
        <v>39100.0</v>
      </c>
      <c r="F32" s="59" t="s">
        <v>125</v>
      </c>
      <c r="G32" s="46" t="s">
        <v>58</v>
      </c>
    </row>
    <row r="33" ht="24.75" customHeight="1">
      <c r="A33" s="47" t="s">
        <v>128</v>
      </c>
      <c r="B33" s="48" t="s">
        <v>47</v>
      </c>
      <c r="C33" s="49" t="s">
        <v>123</v>
      </c>
      <c r="D33" s="48" t="s">
        <v>129</v>
      </c>
      <c r="E33" s="51">
        <v>39100.0</v>
      </c>
      <c r="F33" s="58" t="s">
        <v>125</v>
      </c>
      <c r="G33" s="53" t="s">
        <v>58</v>
      </c>
    </row>
    <row r="34" ht="24.75" customHeight="1">
      <c r="A34" s="54" t="s">
        <v>130</v>
      </c>
      <c r="B34" s="42" t="s">
        <v>47</v>
      </c>
      <c r="C34" s="44" t="s">
        <v>123</v>
      </c>
      <c r="D34" s="42" t="s">
        <v>131</v>
      </c>
      <c r="E34" s="56">
        <v>34700.0</v>
      </c>
      <c r="F34" s="59" t="s">
        <v>125</v>
      </c>
      <c r="G34" s="46" t="s">
        <v>58</v>
      </c>
    </row>
    <row r="35" ht="24.75" customHeight="1">
      <c r="A35" s="47" t="s">
        <v>132</v>
      </c>
      <c r="B35" s="48" t="s">
        <v>47</v>
      </c>
      <c r="C35" s="49" t="s">
        <v>123</v>
      </c>
      <c r="D35" s="48" t="s">
        <v>133</v>
      </c>
      <c r="E35" s="51">
        <v>34700.0</v>
      </c>
      <c r="F35" s="58" t="s">
        <v>125</v>
      </c>
      <c r="G35" s="53" t="s">
        <v>58</v>
      </c>
    </row>
    <row r="36" ht="24.75" customHeight="1">
      <c r="A36" s="54" t="s">
        <v>134</v>
      </c>
      <c r="B36" s="42" t="s">
        <v>47</v>
      </c>
      <c r="C36" s="44" t="s">
        <v>123</v>
      </c>
      <c r="D36" s="42" t="s">
        <v>135</v>
      </c>
      <c r="E36" s="56">
        <v>34700.0</v>
      </c>
      <c r="F36" s="59" t="s">
        <v>125</v>
      </c>
      <c r="G36" s="46" t="s">
        <v>58</v>
      </c>
    </row>
    <row r="37" ht="24.75" customHeight="1">
      <c r="A37" s="47" t="s">
        <v>136</v>
      </c>
      <c r="B37" s="48" t="s">
        <v>47</v>
      </c>
      <c r="C37" s="49" t="s">
        <v>123</v>
      </c>
      <c r="D37" s="48" t="s">
        <v>137</v>
      </c>
      <c r="E37" s="51">
        <v>34700.0</v>
      </c>
      <c r="F37" s="58" t="s">
        <v>125</v>
      </c>
      <c r="G37" s="53" t="s">
        <v>58</v>
      </c>
    </row>
    <row r="38" ht="24.75" customHeight="1">
      <c r="A38" s="54" t="s">
        <v>138</v>
      </c>
      <c r="B38" s="42" t="s">
        <v>47</v>
      </c>
      <c r="C38" s="44" t="s">
        <v>123</v>
      </c>
      <c r="D38" s="42" t="s">
        <v>139</v>
      </c>
      <c r="E38" s="56">
        <v>29000.0</v>
      </c>
      <c r="F38" s="59" t="s">
        <v>125</v>
      </c>
      <c r="G38" s="46" t="s">
        <v>58</v>
      </c>
    </row>
    <row r="39" ht="24.75" customHeight="1">
      <c r="A39" s="47" t="s">
        <v>140</v>
      </c>
      <c r="B39" s="48" t="s">
        <v>47</v>
      </c>
      <c r="C39" s="49" t="s">
        <v>123</v>
      </c>
      <c r="D39" s="48" t="s">
        <v>141</v>
      </c>
      <c r="E39" s="51">
        <v>29000.0</v>
      </c>
      <c r="F39" s="58" t="s">
        <v>125</v>
      </c>
      <c r="G39" s="53" t="s">
        <v>58</v>
      </c>
    </row>
    <row r="40" ht="24.75" customHeight="1">
      <c r="A40" s="54" t="s">
        <v>142</v>
      </c>
      <c r="B40" s="42" t="s">
        <v>47</v>
      </c>
      <c r="C40" s="44" t="s">
        <v>123</v>
      </c>
      <c r="D40" s="42" t="s">
        <v>143</v>
      </c>
      <c r="E40" s="56">
        <v>29000.0</v>
      </c>
      <c r="F40" s="59" t="s">
        <v>125</v>
      </c>
      <c r="G40" s="46" t="s">
        <v>58</v>
      </c>
    </row>
    <row r="41" ht="24.75" customHeight="1">
      <c r="A41" s="47" t="s">
        <v>144</v>
      </c>
      <c r="B41" s="48" t="s">
        <v>47</v>
      </c>
      <c r="C41" s="49" t="s">
        <v>123</v>
      </c>
      <c r="D41" s="48" t="s">
        <v>145</v>
      </c>
      <c r="E41" s="51">
        <v>23700.0</v>
      </c>
      <c r="F41" s="58" t="s">
        <v>125</v>
      </c>
      <c r="G41" s="53" t="s">
        <v>58</v>
      </c>
    </row>
    <row r="42" ht="24.75" customHeight="1">
      <c r="A42" s="54" t="s">
        <v>146</v>
      </c>
      <c r="B42" s="42" t="s">
        <v>47</v>
      </c>
      <c r="C42" s="44" t="s">
        <v>123</v>
      </c>
      <c r="D42" s="42" t="s">
        <v>147</v>
      </c>
      <c r="E42" s="56">
        <v>23700.0</v>
      </c>
      <c r="F42" s="59" t="s">
        <v>125</v>
      </c>
      <c r="G42" s="46" t="s">
        <v>58</v>
      </c>
    </row>
    <row r="43" ht="24.75" customHeight="1">
      <c r="A43" s="47" t="s">
        <v>148</v>
      </c>
      <c r="B43" s="48" t="s">
        <v>47</v>
      </c>
      <c r="C43" s="49" t="s">
        <v>123</v>
      </c>
      <c r="D43" s="48" t="s">
        <v>143</v>
      </c>
      <c r="E43" s="51">
        <v>23700.0</v>
      </c>
      <c r="F43" s="58" t="s">
        <v>125</v>
      </c>
      <c r="G43" s="53" t="s">
        <v>58</v>
      </c>
    </row>
    <row r="44" ht="24.75" customHeight="1">
      <c r="A44" s="54" t="s">
        <v>149</v>
      </c>
      <c r="B44" s="42" t="s">
        <v>47</v>
      </c>
      <c r="C44" s="44" t="s">
        <v>123</v>
      </c>
      <c r="D44" s="42" t="s">
        <v>150</v>
      </c>
      <c r="E44" s="56">
        <v>29000.0</v>
      </c>
      <c r="F44" s="59" t="s">
        <v>125</v>
      </c>
      <c r="G44" s="46" t="s">
        <v>58</v>
      </c>
    </row>
    <row r="45" ht="24.75" customHeight="1">
      <c r="A45" s="47" t="s">
        <v>151</v>
      </c>
      <c r="B45" s="48" t="s">
        <v>47</v>
      </c>
      <c r="C45" s="49" t="s">
        <v>123</v>
      </c>
      <c r="D45" s="48" t="s">
        <v>152</v>
      </c>
      <c r="E45" s="51">
        <v>43400.0</v>
      </c>
      <c r="F45" s="58" t="s">
        <v>125</v>
      </c>
      <c r="G45" s="53" t="s">
        <v>58</v>
      </c>
    </row>
    <row r="46" ht="24.75" customHeight="1">
      <c r="A46" s="54" t="s">
        <v>153</v>
      </c>
      <c r="B46" s="42" t="s">
        <v>47</v>
      </c>
      <c r="C46" s="44" t="s">
        <v>123</v>
      </c>
      <c r="D46" s="42" t="s">
        <v>154</v>
      </c>
      <c r="E46" s="56">
        <v>43400.0</v>
      </c>
      <c r="F46" s="59" t="s">
        <v>125</v>
      </c>
      <c r="G46" s="46" t="s">
        <v>58</v>
      </c>
    </row>
    <row r="47" ht="24.75" customHeight="1">
      <c r="A47" s="47" t="s">
        <v>155</v>
      </c>
      <c r="B47" s="48" t="s">
        <v>47</v>
      </c>
      <c r="C47" s="49" t="s">
        <v>123</v>
      </c>
      <c r="D47" s="48" t="s">
        <v>156</v>
      </c>
      <c r="E47" s="51">
        <v>43400.0</v>
      </c>
      <c r="F47" s="58" t="s">
        <v>125</v>
      </c>
      <c r="G47" s="53" t="s">
        <v>58</v>
      </c>
    </row>
    <row r="48" ht="24.75" customHeight="1">
      <c r="A48" s="54" t="s">
        <v>157</v>
      </c>
      <c r="B48" s="42" t="s">
        <v>47</v>
      </c>
      <c r="C48" s="44" t="s">
        <v>123</v>
      </c>
      <c r="D48" s="42" t="s">
        <v>158</v>
      </c>
      <c r="E48" s="56">
        <v>41200.0</v>
      </c>
      <c r="F48" s="59" t="s">
        <v>125</v>
      </c>
      <c r="G48" s="46" t="s">
        <v>58</v>
      </c>
    </row>
    <row r="49" ht="24.75" customHeight="1">
      <c r="A49" s="47" t="s">
        <v>159</v>
      </c>
      <c r="B49" s="48" t="s">
        <v>47</v>
      </c>
      <c r="C49" s="49" t="s">
        <v>123</v>
      </c>
      <c r="D49" s="48" t="s">
        <v>160</v>
      </c>
      <c r="E49" s="51">
        <v>41200.0</v>
      </c>
      <c r="F49" s="58" t="s">
        <v>125</v>
      </c>
      <c r="G49" s="53" t="s">
        <v>58</v>
      </c>
    </row>
    <row r="50" ht="24.75" customHeight="1">
      <c r="A50" s="54" t="s">
        <v>161</v>
      </c>
      <c r="B50" s="42" t="s">
        <v>47</v>
      </c>
      <c r="C50" s="44" t="s">
        <v>123</v>
      </c>
      <c r="D50" s="42" t="s">
        <v>162</v>
      </c>
      <c r="E50" s="56">
        <v>41200.0</v>
      </c>
      <c r="F50" s="59" t="s">
        <v>125</v>
      </c>
      <c r="G50" s="46" t="s">
        <v>58</v>
      </c>
    </row>
    <row r="51" ht="24.75" customHeight="1">
      <c r="A51" s="47" t="s">
        <v>163</v>
      </c>
      <c r="B51" s="48" t="s">
        <v>47</v>
      </c>
      <c r="C51" s="49" t="s">
        <v>123</v>
      </c>
      <c r="D51" s="48" t="s">
        <v>164</v>
      </c>
      <c r="E51" s="51">
        <v>43400.0</v>
      </c>
      <c r="F51" s="58" t="s">
        <v>125</v>
      </c>
      <c r="G51" s="53" t="s">
        <v>58</v>
      </c>
    </row>
    <row r="52" ht="24.75" customHeight="1">
      <c r="A52" s="41" t="s">
        <v>165</v>
      </c>
      <c r="B52" s="42" t="s">
        <v>47</v>
      </c>
      <c r="C52" s="43"/>
      <c r="D52" s="63" t="s">
        <v>166</v>
      </c>
      <c r="E52" s="45" t="s">
        <v>48</v>
      </c>
      <c r="F52" s="44" t="s">
        <v>44</v>
      </c>
      <c r="G52" s="46" t="s">
        <v>58</v>
      </c>
    </row>
    <row r="53" ht="24.75" customHeight="1">
      <c r="A53" s="47" t="s">
        <v>167</v>
      </c>
      <c r="B53" s="48" t="s">
        <v>47</v>
      </c>
      <c r="C53" s="49" t="s">
        <v>168</v>
      </c>
      <c r="D53" s="48" t="s">
        <v>169</v>
      </c>
      <c r="E53" s="51">
        <v>36200.0</v>
      </c>
      <c r="F53" s="58" t="s">
        <v>170</v>
      </c>
      <c r="G53" s="53" t="s">
        <v>58</v>
      </c>
    </row>
    <row r="54" ht="27.0" customHeight="1">
      <c r="A54" s="54" t="s">
        <v>171</v>
      </c>
      <c r="B54" s="42" t="s">
        <v>47</v>
      </c>
      <c r="C54" s="44" t="s">
        <v>168</v>
      </c>
      <c r="D54" s="42" t="s">
        <v>172</v>
      </c>
      <c r="E54" s="56">
        <v>36200.0</v>
      </c>
      <c r="F54" s="59" t="s">
        <v>170</v>
      </c>
      <c r="G54" s="46" t="s">
        <v>58</v>
      </c>
    </row>
    <row r="55" ht="27.0" customHeight="1">
      <c r="A55" s="64" t="s">
        <v>173</v>
      </c>
      <c r="B55" s="48" t="s">
        <v>47</v>
      </c>
      <c r="C55" s="65"/>
      <c r="D55" s="63" t="s">
        <v>174</v>
      </c>
      <c r="E55" s="66" t="s">
        <v>48</v>
      </c>
      <c r="F55" s="49" t="s">
        <v>44</v>
      </c>
      <c r="G55" s="53" t="s">
        <v>58</v>
      </c>
    </row>
    <row r="56" ht="27.0" customHeight="1">
      <c r="A56" s="54" t="s">
        <v>175</v>
      </c>
      <c r="B56" s="42" t="s">
        <v>47</v>
      </c>
      <c r="C56" s="44" t="s">
        <v>176</v>
      </c>
      <c r="D56" s="42" t="s">
        <v>177</v>
      </c>
      <c r="E56" s="56">
        <v>34500.0</v>
      </c>
      <c r="F56" s="59" t="s">
        <v>178</v>
      </c>
      <c r="G56" s="46" t="s">
        <v>58</v>
      </c>
    </row>
    <row r="57" ht="27.0" customHeight="1">
      <c r="A57" s="47" t="s">
        <v>179</v>
      </c>
      <c r="B57" s="48" t="s">
        <v>47</v>
      </c>
      <c r="C57" s="49" t="s">
        <v>176</v>
      </c>
      <c r="D57" s="48" t="s">
        <v>180</v>
      </c>
      <c r="E57" s="51">
        <v>31700.0</v>
      </c>
      <c r="F57" s="58" t="s">
        <v>178</v>
      </c>
      <c r="G57" s="53" t="s">
        <v>58</v>
      </c>
    </row>
    <row r="58" ht="27.0" customHeight="1">
      <c r="A58" s="54" t="s">
        <v>181</v>
      </c>
      <c r="B58" s="42" t="s">
        <v>47</v>
      </c>
      <c r="C58" s="44" t="s">
        <v>176</v>
      </c>
      <c r="D58" s="42" t="s">
        <v>182</v>
      </c>
      <c r="E58" s="56">
        <v>37900.0</v>
      </c>
      <c r="F58" s="59" t="s">
        <v>178</v>
      </c>
      <c r="G58" s="46" t="s">
        <v>58</v>
      </c>
    </row>
    <row r="59" ht="27.0" customHeight="1">
      <c r="A59" s="47" t="s">
        <v>183</v>
      </c>
      <c r="B59" s="48" t="s">
        <v>47</v>
      </c>
      <c r="C59" s="49" t="s">
        <v>176</v>
      </c>
      <c r="D59" s="48" t="s">
        <v>184</v>
      </c>
      <c r="E59" s="51">
        <v>34900.0</v>
      </c>
      <c r="F59" s="58" t="s">
        <v>178</v>
      </c>
      <c r="G59" s="53" t="s">
        <v>58</v>
      </c>
    </row>
    <row r="60" ht="27.0" customHeight="1">
      <c r="A60" s="54" t="s">
        <v>185</v>
      </c>
      <c r="B60" s="42" t="s">
        <v>47</v>
      </c>
      <c r="C60" s="44" t="s">
        <v>176</v>
      </c>
      <c r="D60" s="42" t="s">
        <v>186</v>
      </c>
      <c r="E60" s="56">
        <v>6900.0</v>
      </c>
      <c r="F60" s="59" t="s">
        <v>178</v>
      </c>
      <c r="G60" s="46" t="s">
        <v>58</v>
      </c>
    </row>
    <row r="61" ht="27.0" customHeight="1">
      <c r="A61" s="64" t="s">
        <v>187</v>
      </c>
      <c r="B61" s="48" t="s">
        <v>47</v>
      </c>
      <c r="C61" s="65"/>
      <c r="D61" s="67" t="s">
        <v>188</v>
      </c>
      <c r="E61" s="66" t="s">
        <v>48</v>
      </c>
      <c r="F61" s="49" t="s">
        <v>44</v>
      </c>
      <c r="G61" s="53" t="s">
        <v>58</v>
      </c>
    </row>
    <row r="62" ht="15.75" customHeight="1">
      <c r="A62" s="54" t="s">
        <v>189</v>
      </c>
      <c r="B62" s="42" t="s">
        <v>47</v>
      </c>
      <c r="C62" s="44" t="s">
        <v>190</v>
      </c>
      <c r="D62" s="42" t="s">
        <v>191</v>
      </c>
      <c r="E62" s="56">
        <v>30600.0</v>
      </c>
      <c r="F62" s="57" t="s">
        <v>192</v>
      </c>
      <c r="G62" s="46"/>
    </row>
    <row r="63" ht="27.0" customHeight="1">
      <c r="A63" s="47" t="s">
        <v>193</v>
      </c>
      <c r="B63" s="48" t="s">
        <v>47</v>
      </c>
      <c r="C63" s="49" t="s">
        <v>190</v>
      </c>
      <c r="D63" s="48" t="s">
        <v>194</v>
      </c>
      <c r="E63" s="51">
        <v>30600.0</v>
      </c>
      <c r="F63" s="52" t="s">
        <v>192</v>
      </c>
      <c r="G63" s="53" t="s">
        <v>58</v>
      </c>
    </row>
    <row r="64" ht="27.0" customHeight="1">
      <c r="A64" s="54" t="s">
        <v>195</v>
      </c>
      <c r="B64" s="42" t="s">
        <v>47</v>
      </c>
      <c r="C64" s="44" t="s">
        <v>190</v>
      </c>
      <c r="D64" s="42" t="s">
        <v>196</v>
      </c>
      <c r="E64" s="56">
        <v>28900.0</v>
      </c>
      <c r="F64" s="57" t="s">
        <v>197</v>
      </c>
      <c r="G64" s="46" t="s">
        <v>58</v>
      </c>
    </row>
    <row r="65" ht="27.0" customHeight="1">
      <c r="A65" s="47" t="s">
        <v>198</v>
      </c>
      <c r="B65" s="48" t="s">
        <v>47</v>
      </c>
      <c r="C65" s="49" t="s">
        <v>190</v>
      </c>
      <c r="D65" s="48" t="s">
        <v>199</v>
      </c>
      <c r="E65" s="51">
        <v>5700.0</v>
      </c>
      <c r="F65" s="52" t="s">
        <v>197</v>
      </c>
      <c r="G65" s="53" t="s">
        <v>58</v>
      </c>
    </row>
    <row r="66" ht="27.0" customHeight="1">
      <c r="A66" s="41" t="s">
        <v>200</v>
      </c>
      <c r="B66" s="42" t="s">
        <v>47</v>
      </c>
      <c r="C66" s="43"/>
      <c r="D66" s="67" t="s">
        <v>201</v>
      </c>
      <c r="E66" s="45" t="s">
        <v>48</v>
      </c>
      <c r="F66" s="44" t="s">
        <v>44</v>
      </c>
      <c r="G66" s="46" t="s">
        <v>58</v>
      </c>
    </row>
    <row r="67" ht="27.0" customHeight="1">
      <c r="A67" s="47" t="s">
        <v>202</v>
      </c>
      <c r="B67" s="48" t="s">
        <v>47</v>
      </c>
      <c r="C67" s="49" t="s">
        <v>203</v>
      </c>
      <c r="D67" s="48" t="s">
        <v>204</v>
      </c>
      <c r="E67" s="51">
        <v>34600.0</v>
      </c>
      <c r="F67" s="58" t="s">
        <v>205</v>
      </c>
      <c r="G67" s="53" t="s">
        <v>58</v>
      </c>
    </row>
    <row r="68" ht="27.0" customHeight="1">
      <c r="A68" s="54" t="s">
        <v>206</v>
      </c>
      <c r="B68" s="42" t="s">
        <v>47</v>
      </c>
      <c r="C68" s="44" t="s">
        <v>203</v>
      </c>
      <c r="D68" s="42" t="s">
        <v>207</v>
      </c>
      <c r="E68" s="56">
        <v>89800.0</v>
      </c>
      <c r="F68" s="59" t="s">
        <v>205</v>
      </c>
      <c r="G68" s="46" t="s">
        <v>58</v>
      </c>
    </row>
    <row r="69" ht="27.0" customHeight="1">
      <c r="A69" s="47" t="s">
        <v>208</v>
      </c>
      <c r="B69" s="48" t="s">
        <v>47</v>
      </c>
      <c r="C69" s="49" t="s">
        <v>203</v>
      </c>
      <c r="D69" s="48" t="s">
        <v>209</v>
      </c>
      <c r="E69" s="51">
        <v>47500.0</v>
      </c>
      <c r="F69" s="58" t="s">
        <v>205</v>
      </c>
      <c r="G69" s="53" t="s">
        <v>58</v>
      </c>
    </row>
    <row r="70" ht="27.0" customHeight="1">
      <c r="A70" s="54" t="s">
        <v>210</v>
      </c>
      <c r="B70" s="42" t="s">
        <v>47</v>
      </c>
      <c r="C70" s="44" t="s">
        <v>203</v>
      </c>
      <c r="D70" s="42" t="s">
        <v>211</v>
      </c>
      <c r="E70" s="56">
        <v>39500.0</v>
      </c>
      <c r="F70" s="59" t="s">
        <v>205</v>
      </c>
      <c r="G70" s="46" t="s">
        <v>58</v>
      </c>
    </row>
    <row r="71" ht="27.0" customHeight="1">
      <c r="A71" s="47" t="s">
        <v>212</v>
      </c>
      <c r="B71" s="48" t="s">
        <v>47</v>
      </c>
      <c r="C71" s="49" t="s">
        <v>203</v>
      </c>
      <c r="D71" s="48" t="s">
        <v>213</v>
      </c>
      <c r="E71" s="51">
        <v>20500.0</v>
      </c>
      <c r="F71" s="58" t="s">
        <v>205</v>
      </c>
      <c r="G71" s="53" t="s">
        <v>58</v>
      </c>
    </row>
    <row r="72" ht="27.0" customHeight="1">
      <c r="A72" s="54" t="s">
        <v>214</v>
      </c>
      <c r="B72" s="42" t="s">
        <v>47</v>
      </c>
      <c r="C72" s="44" t="s">
        <v>203</v>
      </c>
      <c r="D72" s="42" t="s">
        <v>215</v>
      </c>
      <c r="E72" s="56">
        <v>20500.0</v>
      </c>
      <c r="F72" s="59" t="s">
        <v>205</v>
      </c>
      <c r="G72" s="46" t="s">
        <v>58</v>
      </c>
    </row>
    <row r="73" ht="27.0" customHeight="1">
      <c r="A73" s="47" t="s">
        <v>216</v>
      </c>
      <c r="B73" s="48" t="s">
        <v>47</v>
      </c>
      <c r="C73" s="49" t="s">
        <v>203</v>
      </c>
      <c r="D73" s="48" t="s">
        <v>217</v>
      </c>
      <c r="E73" s="51">
        <v>47600.0</v>
      </c>
      <c r="F73" s="58" t="s">
        <v>205</v>
      </c>
      <c r="G73" s="53" t="s">
        <v>58</v>
      </c>
    </row>
    <row r="74" ht="27.0" customHeight="1">
      <c r="A74" s="41" t="s">
        <v>218</v>
      </c>
      <c r="B74" s="42" t="s">
        <v>47</v>
      </c>
      <c r="C74" s="43"/>
      <c r="D74" s="67" t="s">
        <v>219</v>
      </c>
      <c r="E74" s="45" t="s">
        <v>48</v>
      </c>
      <c r="F74" s="44" t="s">
        <v>44</v>
      </c>
      <c r="G74" s="46" t="s">
        <v>58</v>
      </c>
    </row>
    <row r="75" ht="27.0" customHeight="1">
      <c r="A75" s="47" t="s">
        <v>220</v>
      </c>
      <c r="B75" s="48" t="s">
        <v>47</v>
      </c>
      <c r="C75" s="49" t="s">
        <v>221</v>
      </c>
      <c r="D75" s="48" t="s">
        <v>222</v>
      </c>
      <c r="E75" s="51">
        <v>37200.0</v>
      </c>
      <c r="F75" s="58" t="s">
        <v>223</v>
      </c>
      <c r="G75" s="53" t="s">
        <v>58</v>
      </c>
    </row>
    <row r="76" ht="27.0" customHeight="1">
      <c r="A76" s="54" t="s">
        <v>224</v>
      </c>
      <c r="B76" s="42" t="s">
        <v>47</v>
      </c>
      <c r="C76" s="44" t="s">
        <v>221</v>
      </c>
      <c r="D76" s="42" t="s">
        <v>225</v>
      </c>
      <c r="E76" s="56">
        <v>47600.0</v>
      </c>
      <c r="F76" s="59" t="s">
        <v>223</v>
      </c>
      <c r="G76" s="46" t="s">
        <v>58</v>
      </c>
    </row>
    <row r="77" ht="27.0" customHeight="1">
      <c r="A77" s="47" t="s">
        <v>226</v>
      </c>
      <c r="B77" s="48" t="s">
        <v>47</v>
      </c>
      <c r="C77" s="49" t="s">
        <v>221</v>
      </c>
      <c r="D77" s="48" t="s">
        <v>227</v>
      </c>
      <c r="E77" s="51">
        <v>37200.0</v>
      </c>
      <c r="F77" s="58" t="s">
        <v>223</v>
      </c>
      <c r="G77" s="53" t="s">
        <v>58</v>
      </c>
    </row>
    <row r="78" ht="27.0" customHeight="1">
      <c r="A78" s="54" t="s">
        <v>228</v>
      </c>
      <c r="B78" s="42" t="s">
        <v>47</v>
      </c>
      <c r="C78" s="44" t="s">
        <v>221</v>
      </c>
      <c r="D78" s="42" t="s">
        <v>229</v>
      </c>
      <c r="E78" s="56">
        <v>47600.0</v>
      </c>
      <c r="F78" s="59" t="s">
        <v>223</v>
      </c>
      <c r="G78" s="46" t="s">
        <v>58</v>
      </c>
    </row>
    <row r="79" ht="27.0" customHeight="1">
      <c r="A79" s="47" t="s">
        <v>230</v>
      </c>
      <c r="B79" s="48" t="s">
        <v>47</v>
      </c>
      <c r="C79" s="49" t="s">
        <v>221</v>
      </c>
      <c r="D79" s="48" t="s">
        <v>8</v>
      </c>
      <c r="E79" s="51">
        <v>51700.0</v>
      </c>
      <c r="F79" s="58" t="s">
        <v>223</v>
      </c>
      <c r="G79" s="53" t="s">
        <v>58</v>
      </c>
    </row>
    <row r="80" ht="27.0" customHeight="1">
      <c r="A80" s="54" t="s">
        <v>231</v>
      </c>
      <c r="B80" s="42" t="s">
        <v>47</v>
      </c>
      <c r="C80" s="44" t="s">
        <v>221</v>
      </c>
      <c r="D80" s="42" t="s">
        <v>232</v>
      </c>
      <c r="E80" s="56">
        <v>53800.0</v>
      </c>
      <c r="F80" s="59" t="s">
        <v>223</v>
      </c>
      <c r="G80" s="46" t="s">
        <v>58</v>
      </c>
    </row>
    <row r="81" ht="27.0" customHeight="1">
      <c r="A81" s="64" t="s">
        <v>233</v>
      </c>
      <c r="B81" s="48" t="s">
        <v>47</v>
      </c>
      <c r="C81" s="65"/>
      <c r="D81" s="67" t="s">
        <v>31</v>
      </c>
      <c r="E81" s="66" t="s">
        <v>48</v>
      </c>
      <c r="F81" s="49" t="s">
        <v>44</v>
      </c>
      <c r="G81" s="53" t="s">
        <v>58</v>
      </c>
    </row>
    <row r="82" ht="27.0" customHeight="1">
      <c r="A82" s="54" t="s">
        <v>234</v>
      </c>
      <c r="B82" s="42" t="s">
        <v>47</v>
      </c>
      <c r="C82" s="44" t="s">
        <v>235</v>
      </c>
      <c r="D82" s="42" t="s">
        <v>236</v>
      </c>
      <c r="E82" s="56">
        <v>16500.0</v>
      </c>
      <c r="F82" s="57" t="s">
        <v>237</v>
      </c>
      <c r="G82" s="46" t="s">
        <v>58</v>
      </c>
    </row>
    <row r="83" ht="27.0" customHeight="1">
      <c r="A83" s="47" t="s">
        <v>238</v>
      </c>
      <c r="B83" s="48" t="s">
        <v>47</v>
      </c>
      <c r="C83" s="49" t="s">
        <v>235</v>
      </c>
      <c r="D83" s="48" t="s">
        <v>239</v>
      </c>
      <c r="E83" s="51">
        <v>14400.0</v>
      </c>
      <c r="F83" s="52" t="s">
        <v>237</v>
      </c>
      <c r="G83" s="53" t="s">
        <v>58</v>
      </c>
    </row>
    <row r="84" ht="27.0" customHeight="1">
      <c r="A84" s="54" t="s">
        <v>240</v>
      </c>
      <c r="B84" s="42" t="s">
        <v>47</v>
      </c>
      <c r="C84" s="44" t="s">
        <v>235</v>
      </c>
      <c r="D84" s="42" t="s">
        <v>32</v>
      </c>
      <c r="E84" s="56">
        <v>56500.0</v>
      </c>
      <c r="F84" s="57" t="s">
        <v>237</v>
      </c>
      <c r="G84" s="46" t="s">
        <v>58</v>
      </c>
    </row>
    <row r="85" ht="27.0" customHeight="1">
      <c r="A85" s="64" t="s">
        <v>241</v>
      </c>
      <c r="B85" s="48" t="s">
        <v>47</v>
      </c>
      <c r="C85" s="65"/>
      <c r="D85" s="67" t="s">
        <v>242</v>
      </c>
      <c r="E85" s="66" t="s">
        <v>48</v>
      </c>
      <c r="F85" s="49" t="s">
        <v>44</v>
      </c>
      <c r="G85" s="53" t="s">
        <v>58</v>
      </c>
    </row>
    <row r="86" ht="27.0" customHeight="1">
      <c r="A86" s="54" t="s">
        <v>243</v>
      </c>
      <c r="B86" s="42" t="s">
        <v>47</v>
      </c>
      <c r="C86" s="44" t="s">
        <v>244</v>
      </c>
      <c r="D86" s="42" t="s">
        <v>245</v>
      </c>
      <c r="E86" s="56">
        <v>6200.0</v>
      </c>
      <c r="F86" s="59"/>
      <c r="G86" s="46" t="s">
        <v>58</v>
      </c>
    </row>
    <row r="87" ht="27.0" customHeight="1">
      <c r="A87" s="47" t="s">
        <v>246</v>
      </c>
      <c r="B87" s="48" t="s">
        <v>47</v>
      </c>
      <c r="C87" s="49" t="s">
        <v>244</v>
      </c>
      <c r="D87" s="48" t="s">
        <v>247</v>
      </c>
      <c r="E87" s="51">
        <v>8900.0</v>
      </c>
      <c r="F87" s="58"/>
      <c r="G87" s="53" t="s">
        <v>58</v>
      </c>
    </row>
    <row r="88" ht="27.0" customHeight="1">
      <c r="A88" s="54" t="s">
        <v>248</v>
      </c>
      <c r="B88" s="42" t="s">
        <v>47</v>
      </c>
      <c r="C88" s="44" t="s">
        <v>244</v>
      </c>
      <c r="D88" s="42" t="s">
        <v>249</v>
      </c>
      <c r="E88" s="56">
        <v>11700.0</v>
      </c>
      <c r="F88" s="59"/>
      <c r="G88" s="46" t="s">
        <v>58</v>
      </c>
    </row>
    <row r="89" ht="27.0" customHeight="1">
      <c r="A89" s="47" t="s">
        <v>250</v>
      </c>
      <c r="B89" s="48" t="s">
        <v>47</v>
      </c>
      <c r="C89" s="49" t="s">
        <v>244</v>
      </c>
      <c r="D89" s="48" t="s">
        <v>251</v>
      </c>
      <c r="E89" s="51">
        <v>19300.0</v>
      </c>
      <c r="F89" s="58"/>
      <c r="G89" s="53" t="s">
        <v>58</v>
      </c>
    </row>
    <row r="90" ht="27.0" customHeight="1">
      <c r="A90" s="41" t="s">
        <v>252</v>
      </c>
      <c r="B90" s="42" t="s">
        <v>47</v>
      </c>
      <c r="C90" s="43"/>
      <c r="D90" s="67" t="s">
        <v>253</v>
      </c>
      <c r="E90" s="45" t="s">
        <v>48</v>
      </c>
      <c r="F90" s="44" t="s">
        <v>44</v>
      </c>
      <c r="G90" s="46" t="s">
        <v>58</v>
      </c>
    </row>
    <row r="91" ht="27.0" customHeight="1">
      <c r="A91" s="47" t="s">
        <v>254</v>
      </c>
      <c r="B91" s="48" t="s">
        <v>47</v>
      </c>
      <c r="C91" s="49" t="s">
        <v>255</v>
      </c>
      <c r="D91" s="52" t="s">
        <v>256</v>
      </c>
      <c r="E91" s="51">
        <v>11700.0</v>
      </c>
      <c r="F91" s="58" t="s">
        <v>257</v>
      </c>
      <c r="G91" s="53" t="s">
        <v>58</v>
      </c>
    </row>
    <row r="92" ht="27.0" customHeight="1">
      <c r="A92" s="54" t="s">
        <v>258</v>
      </c>
      <c r="B92" s="42" t="s">
        <v>47</v>
      </c>
      <c r="C92" s="44" t="s">
        <v>255</v>
      </c>
      <c r="D92" s="57" t="s">
        <v>259</v>
      </c>
      <c r="E92" s="56">
        <v>10300.0</v>
      </c>
      <c r="F92" s="59" t="s">
        <v>257</v>
      </c>
      <c r="G92" s="46" t="s">
        <v>58</v>
      </c>
    </row>
    <row r="93" ht="27.0" customHeight="1">
      <c r="A93" s="47" t="s">
        <v>260</v>
      </c>
      <c r="B93" s="48" t="s">
        <v>47</v>
      </c>
      <c r="C93" s="49" t="s">
        <v>255</v>
      </c>
      <c r="D93" s="52" t="s">
        <v>261</v>
      </c>
      <c r="E93" s="51">
        <v>17600.0</v>
      </c>
      <c r="F93" s="58" t="s">
        <v>257</v>
      </c>
      <c r="G93" s="53" t="s">
        <v>58</v>
      </c>
    </row>
    <row r="94" ht="27.0" customHeight="1">
      <c r="A94" s="54" t="s">
        <v>262</v>
      </c>
      <c r="B94" s="42" t="s">
        <v>47</v>
      </c>
      <c r="C94" s="44" t="s">
        <v>255</v>
      </c>
      <c r="D94" s="57" t="s">
        <v>263</v>
      </c>
      <c r="E94" s="56">
        <v>11700.0</v>
      </c>
      <c r="F94" s="59" t="s">
        <v>257</v>
      </c>
      <c r="G94" s="46" t="s">
        <v>58</v>
      </c>
    </row>
    <row r="95" ht="27.0" customHeight="1">
      <c r="A95" s="47" t="s">
        <v>264</v>
      </c>
      <c r="B95" s="48" t="s">
        <v>47</v>
      </c>
      <c r="C95" s="49" t="s">
        <v>255</v>
      </c>
      <c r="D95" s="52" t="s">
        <v>265</v>
      </c>
      <c r="E95" s="51">
        <v>10300.0</v>
      </c>
      <c r="F95" s="58" t="s">
        <v>257</v>
      </c>
      <c r="G95" s="53" t="s">
        <v>58</v>
      </c>
    </row>
    <row r="96" ht="27.0" customHeight="1">
      <c r="A96" s="54" t="s">
        <v>266</v>
      </c>
      <c r="B96" s="42" t="s">
        <v>47</v>
      </c>
      <c r="C96" s="44" t="s">
        <v>255</v>
      </c>
      <c r="D96" s="57" t="s">
        <v>267</v>
      </c>
      <c r="E96" s="56">
        <v>17600.0</v>
      </c>
      <c r="F96" s="59" t="s">
        <v>257</v>
      </c>
      <c r="G96" s="46" t="s">
        <v>58</v>
      </c>
    </row>
    <row r="97" ht="27.0" customHeight="1">
      <c r="A97" s="47" t="s">
        <v>268</v>
      </c>
      <c r="B97" s="48" t="s">
        <v>47</v>
      </c>
      <c r="C97" s="49" t="s">
        <v>255</v>
      </c>
      <c r="D97" s="52" t="s">
        <v>269</v>
      </c>
      <c r="E97" s="51">
        <v>15300.0</v>
      </c>
      <c r="F97" s="58" t="s">
        <v>257</v>
      </c>
      <c r="G97" s="53" t="s">
        <v>58</v>
      </c>
    </row>
    <row r="98" ht="27.0" customHeight="1">
      <c r="A98" s="54" t="s">
        <v>271</v>
      </c>
      <c r="B98" s="42" t="s">
        <v>47</v>
      </c>
      <c r="C98" s="44" t="s">
        <v>255</v>
      </c>
      <c r="D98" s="57" t="s">
        <v>272</v>
      </c>
      <c r="E98" s="56">
        <v>31100.0</v>
      </c>
      <c r="F98" s="59" t="s">
        <v>257</v>
      </c>
      <c r="G98" s="46" t="s">
        <v>58</v>
      </c>
    </row>
    <row r="99" ht="27.0" customHeight="1">
      <c r="A99" s="47" t="s">
        <v>273</v>
      </c>
      <c r="B99" s="48" t="s">
        <v>47</v>
      </c>
      <c r="C99" s="49" t="s">
        <v>255</v>
      </c>
      <c r="D99" s="52" t="s">
        <v>274</v>
      </c>
      <c r="E99" s="51">
        <v>20500.0</v>
      </c>
      <c r="F99" s="58" t="s">
        <v>257</v>
      </c>
      <c r="G99" s="53" t="s">
        <v>58</v>
      </c>
    </row>
    <row r="100" ht="27.0" customHeight="1">
      <c r="A100" s="54" t="s">
        <v>276</v>
      </c>
      <c r="B100" s="42" t="s">
        <v>47</v>
      </c>
      <c r="C100" s="44" t="s">
        <v>255</v>
      </c>
      <c r="D100" s="57" t="s">
        <v>277</v>
      </c>
      <c r="E100" s="56">
        <v>14600.0</v>
      </c>
      <c r="F100" s="59" t="s">
        <v>257</v>
      </c>
      <c r="G100" s="46" t="s">
        <v>58</v>
      </c>
    </row>
    <row r="101" ht="27.0" customHeight="1">
      <c r="A101" s="47" t="s">
        <v>278</v>
      </c>
      <c r="B101" s="48" t="s">
        <v>47</v>
      </c>
      <c r="C101" s="49" t="s">
        <v>255</v>
      </c>
      <c r="D101" s="52" t="s">
        <v>279</v>
      </c>
      <c r="E101" s="51">
        <v>17600.0</v>
      </c>
      <c r="F101" s="58" t="s">
        <v>257</v>
      </c>
      <c r="G101" s="53" t="s">
        <v>58</v>
      </c>
    </row>
    <row r="102" ht="27.0" customHeight="1">
      <c r="A102" s="54" t="s">
        <v>280</v>
      </c>
      <c r="B102" s="42" t="s">
        <v>47</v>
      </c>
      <c r="C102" s="44" t="s">
        <v>255</v>
      </c>
      <c r="D102" s="57" t="s">
        <v>281</v>
      </c>
      <c r="E102" s="56">
        <v>20600.0</v>
      </c>
      <c r="F102" s="59" t="s">
        <v>257</v>
      </c>
      <c r="G102" s="46" t="s">
        <v>58</v>
      </c>
    </row>
    <row r="103" ht="27.0" customHeight="1">
      <c r="A103" s="47" t="s">
        <v>282</v>
      </c>
      <c r="B103" s="48" t="s">
        <v>47</v>
      </c>
      <c r="C103" s="49" t="s">
        <v>255</v>
      </c>
      <c r="D103" s="52" t="s">
        <v>283</v>
      </c>
      <c r="E103" s="51">
        <v>17900.0</v>
      </c>
      <c r="F103" s="58" t="s">
        <v>257</v>
      </c>
      <c r="G103" s="53" t="s">
        <v>58</v>
      </c>
    </row>
    <row r="104" ht="27.0" customHeight="1">
      <c r="A104" s="54" t="s">
        <v>284</v>
      </c>
      <c r="B104" s="42" t="s">
        <v>47</v>
      </c>
      <c r="C104" s="44" t="s">
        <v>255</v>
      </c>
      <c r="D104" s="57" t="s">
        <v>285</v>
      </c>
      <c r="E104" s="56">
        <v>41300.0</v>
      </c>
      <c r="F104" s="59" t="s">
        <v>257</v>
      </c>
      <c r="G104" s="46" t="s">
        <v>58</v>
      </c>
    </row>
    <row r="105" ht="27.0" customHeight="1">
      <c r="A105" s="64" t="s">
        <v>286</v>
      </c>
      <c r="B105" s="48" t="s">
        <v>47</v>
      </c>
      <c r="C105" s="65"/>
      <c r="D105" s="67" t="s">
        <v>287</v>
      </c>
      <c r="E105" s="66" t="s">
        <v>48</v>
      </c>
      <c r="F105" s="49" t="s">
        <v>44</v>
      </c>
      <c r="G105" s="53" t="s">
        <v>58</v>
      </c>
    </row>
    <row r="106" ht="27.0" customHeight="1">
      <c r="A106" s="54" t="s">
        <v>288</v>
      </c>
      <c r="B106" s="42" t="s">
        <v>47</v>
      </c>
      <c r="C106" s="44" t="s">
        <v>290</v>
      </c>
      <c r="D106" s="42" t="s">
        <v>291</v>
      </c>
      <c r="E106" s="56">
        <v>27900.0</v>
      </c>
      <c r="F106" s="59" t="s">
        <v>292</v>
      </c>
      <c r="G106" s="46" t="s">
        <v>58</v>
      </c>
    </row>
    <row r="107" ht="27.0" customHeight="1">
      <c r="A107" s="47" t="s">
        <v>293</v>
      </c>
      <c r="B107" s="48" t="s">
        <v>47</v>
      </c>
      <c r="C107" s="49" t="s">
        <v>290</v>
      </c>
      <c r="D107" s="48" t="s">
        <v>294</v>
      </c>
      <c r="E107" s="51">
        <v>86500.0</v>
      </c>
      <c r="F107" s="58" t="s">
        <v>292</v>
      </c>
      <c r="G107" s="53" t="s">
        <v>58</v>
      </c>
    </row>
    <row r="108" ht="27.0" customHeight="1">
      <c r="A108" s="54" t="s">
        <v>295</v>
      </c>
      <c r="B108" s="42" t="s">
        <v>47</v>
      </c>
      <c r="C108" s="44" t="s">
        <v>290</v>
      </c>
      <c r="D108" s="42" t="s">
        <v>296</v>
      </c>
      <c r="E108" s="56">
        <v>86500.0</v>
      </c>
      <c r="F108" s="59" t="s">
        <v>292</v>
      </c>
      <c r="G108" s="46" t="s">
        <v>58</v>
      </c>
    </row>
    <row r="109" ht="27.0" customHeight="1">
      <c r="A109" s="47" t="s">
        <v>297</v>
      </c>
      <c r="B109" s="48" t="s">
        <v>47</v>
      </c>
      <c r="C109" s="49" t="s">
        <v>290</v>
      </c>
      <c r="D109" s="48" t="s">
        <v>298</v>
      </c>
      <c r="E109" s="51">
        <v>31000.0</v>
      </c>
      <c r="F109" s="58" t="s">
        <v>292</v>
      </c>
      <c r="G109" s="53" t="s">
        <v>58</v>
      </c>
    </row>
    <row r="110" ht="27.0" customHeight="1">
      <c r="A110" s="54" t="s">
        <v>300</v>
      </c>
      <c r="B110" s="42" t="s">
        <v>47</v>
      </c>
      <c r="C110" s="44" t="s">
        <v>290</v>
      </c>
      <c r="D110" s="42" t="s">
        <v>301</v>
      </c>
      <c r="E110" s="56">
        <v>31000.0</v>
      </c>
      <c r="F110" s="59" t="s">
        <v>292</v>
      </c>
      <c r="G110" s="46" t="s">
        <v>58</v>
      </c>
    </row>
    <row r="111" ht="27.0" customHeight="1">
      <c r="A111" s="47" t="s">
        <v>302</v>
      </c>
      <c r="B111" s="48" t="s">
        <v>47</v>
      </c>
      <c r="C111" s="49" t="s">
        <v>290</v>
      </c>
      <c r="D111" s="48" t="s">
        <v>303</v>
      </c>
      <c r="E111" s="51">
        <v>13400.0</v>
      </c>
      <c r="F111" s="58" t="s">
        <v>292</v>
      </c>
      <c r="G111" s="53" t="s">
        <v>58</v>
      </c>
    </row>
    <row r="112" ht="27.0" customHeight="1">
      <c r="A112" s="54" t="s">
        <v>304</v>
      </c>
      <c r="B112" s="42" t="s">
        <v>47</v>
      </c>
      <c r="C112" s="44" t="s">
        <v>290</v>
      </c>
      <c r="D112" s="42" t="s">
        <v>305</v>
      </c>
      <c r="E112" s="56">
        <v>72400.0</v>
      </c>
      <c r="F112" s="59" t="s">
        <v>292</v>
      </c>
      <c r="G112" s="46" t="s">
        <v>58</v>
      </c>
    </row>
    <row r="113" ht="27.0" customHeight="1">
      <c r="A113" s="47" t="s">
        <v>307</v>
      </c>
      <c r="B113" s="48" t="s">
        <v>47</v>
      </c>
      <c r="C113" s="49" t="s">
        <v>290</v>
      </c>
      <c r="D113" s="48" t="s">
        <v>308</v>
      </c>
      <c r="E113" s="51">
        <v>31000.0</v>
      </c>
      <c r="F113" s="58" t="s">
        <v>292</v>
      </c>
      <c r="G113" s="53" t="s">
        <v>58</v>
      </c>
    </row>
    <row r="114" ht="27.0" customHeight="1">
      <c r="A114" s="54" t="s">
        <v>309</v>
      </c>
      <c r="B114" s="42" t="s">
        <v>47</v>
      </c>
      <c r="C114" s="44" t="s">
        <v>290</v>
      </c>
      <c r="D114" s="42" t="s">
        <v>310</v>
      </c>
      <c r="E114" s="56">
        <v>46500.0</v>
      </c>
      <c r="F114" s="59" t="s">
        <v>292</v>
      </c>
      <c r="G114" s="46" t="s">
        <v>58</v>
      </c>
    </row>
    <row r="115" ht="27.0" customHeight="1">
      <c r="A115" s="47" t="s">
        <v>311</v>
      </c>
      <c r="B115" s="48" t="s">
        <v>47</v>
      </c>
      <c r="C115" s="49" t="s">
        <v>290</v>
      </c>
      <c r="D115" s="48" t="s">
        <v>312</v>
      </c>
      <c r="E115" s="51">
        <v>27900.0</v>
      </c>
      <c r="F115" s="58" t="s">
        <v>292</v>
      </c>
      <c r="G115" s="53" t="s">
        <v>58</v>
      </c>
    </row>
    <row r="116" ht="27.0" customHeight="1">
      <c r="A116" s="54" t="s">
        <v>313</v>
      </c>
      <c r="B116" s="42" t="s">
        <v>47</v>
      </c>
      <c r="C116" s="44" t="s">
        <v>290</v>
      </c>
      <c r="D116" s="42" t="s">
        <v>314</v>
      </c>
      <c r="E116" s="56">
        <v>47500.0</v>
      </c>
      <c r="F116" s="59" t="s">
        <v>292</v>
      </c>
      <c r="G116" s="46" t="s">
        <v>58</v>
      </c>
    </row>
    <row r="117" ht="27.0" customHeight="1">
      <c r="A117" s="47" t="s">
        <v>315</v>
      </c>
      <c r="B117" s="48" t="s">
        <v>47</v>
      </c>
      <c r="C117" s="49" t="s">
        <v>290</v>
      </c>
      <c r="D117" s="48" t="s">
        <v>316</v>
      </c>
      <c r="E117" s="51">
        <v>27900.0</v>
      </c>
      <c r="F117" s="58" t="s">
        <v>292</v>
      </c>
      <c r="G117" s="53" t="s">
        <v>58</v>
      </c>
    </row>
    <row r="118" ht="27.0" customHeight="1">
      <c r="A118" s="54" t="s">
        <v>317</v>
      </c>
      <c r="B118" s="42" t="s">
        <v>47</v>
      </c>
      <c r="C118" s="44" t="s">
        <v>290</v>
      </c>
      <c r="D118" s="42" t="s">
        <v>318</v>
      </c>
      <c r="E118" s="56">
        <v>51700.0</v>
      </c>
      <c r="F118" s="59" t="s">
        <v>292</v>
      </c>
      <c r="G118" s="46" t="s">
        <v>58</v>
      </c>
    </row>
    <row r="119" ht="27.0" customHeight="1">
      <c r="A119" s="47" t="s">
        <v>320</v>
      </c>
      <c r="B119" s="48" t="s">
        <v>47</v>
      </c>
      <c r="C119" s="49" t="s">
        <v>290</v>
      </c>
      <c r="D119" s="48" t="s">
        <v>321</v>
      </c>
      <c r="E119" s="51">
        <v>56900.0</v>
      </c>
      <c r="F119" s="58" t="s">
        <v>292</v>
      </c>
      <c r="G119" s="53" t="s">
        <v>58</v>
      </c>
    </row>
    <row r="120" ht="27.0" customHeight="1">
      <c r="A120" s="54" t="s">
        <v>322</v>
      </c>
      <c r="B120" s="42" t="s">
        <v>47</v>
      </c>
      <c r="C120" s="44" t="s">
        <v>290</v>
      </c>
      <c r="D120" s="42" t="s">
        <v>323</v>
      </c>
      <c r="E120" s="56">
        <v>27900.0</v>
      </c>
      <c r="F120" s="59" t="s">
        <v>292</v>
      </c>
      <c r="G120" s="46" t="s">
        <v>58</v>
      </c>
    </row>
    <row r="121" ht="27.0" customHeight="1">
      <c r="A121" s="47" t="s">
        <v>324</v>
      </c>
      <c r="B121" s="48" t="s">
        <v>47</v>
      </c>
      <c r="C121" s="49" t="s">
        <v>290</v>
      </c>
      <c r="D121" s="48" t="s">
        <v>325</v>
      </c>
      <c r="E121" s="51">
        <v>41600.0</v>
      </c>
      <c r="F121" s="58" t="s">
        <v>292</v>
      </c>
      <c r="G121" s="53" t="s">
        <v>58</v>
      </c>
    </row>
    <row r="122" ht="27.0" customHeight="1">
      <c r="A122" s="54" t="s">
        <v>326</v>
      </c>
      <c r="B122" s="42" t="s">
        <v>47</v>
      </c>
      <c r="C122" s="44" t="s">
        <v>290</v>
      </c>
      <c r="D122" s="42" t="s">
        <v>327</v>
      </c>
      <c r="E122" s="56">
        <v>98300.0</v>
      </c>
      <c r="F122" s="59" t="s">
        <v>292</v>
      </c>
      <c r="G122" s="46" t="s">
        <v>58</v>
      </c>
    </row>
    <row r="123" ht="27.0" customHeight="1">
      <c r="A123" s="47" t="s">
        <v>328</v>
      </c>
      <c r="B123" s="48" t="s">
        <v>47</v>
      </c>
      <c r="C123" s="90" t="s">
        <v>329</v>
      </c>
      <c r="D123" s="91" t="s">
        <v>330</v>
      </c>
      <c r="E123" s="92">
        <v>27900.0</v>
      </c>
      <c r="F123" s="93"/>
      <c r="G123" s="53" t="s">
        <v>58</v>
      </c>
    </row>
    <row r="124" ht="27.0" customHeight="1">
      <c r="A124" s="41" t="s">
        <v>328</v>
      </c>
      <c r="B124" s="42" t="s">
        <v>47</v>
      </c>
      <c r="C124" s="43"/>
      <c r="D124" s="67" t="s">
        <v>331</v>
      </c>
      <c r="E124" s="45" t="s">
        <v>48</v>
      </c>
      <c r="F124" s="44" t="s">
        <v>44</v>
      </c>
      <c r="G124" s="46" t="s">
        <v>58</v>
      </c>
    </row>
    <row r="125" ht="27.0" customHeight="1">
      <c r="A125" s="47" t="s">
        <v>332</v>
      </c>
      <c r="B125" s="48" t="s">
        <v>47</v>
      </c>
      <c r="C125" s="49" t="s">
        <v>329</v>
      </c>
      <c r="D125" s="48" t="s">
        <v>333</v>
      </c>
      <c r="E125" s="51">
        <v>27900.0</v>
      </c>
      <c r="F125" s="93"/>
      <c r="G125" s="53" t="s">
        <v>58</v>
      </c>
    </row>
    <row r="126" ht="27.0" customHeight="1">
      <c r="A126" s="54" t="s">
        <v>334</v>
      </c>
      <c r="B126" s="42" t="s">
        <v>47</v>
      </c>
      <c r="C126" s="44" t="s">
        <v>329</v>
      </c>
      <c r="D126" s="42" t="s">
        <v>335</v>
      </c>
      <c r="E126" s="56">
        <v>31000.0</v>
      </c>
      <c r="F126" s="96"/>
      <c r="G126" s="46" t="s">
        <v>58</v>
      </c>
    </row>
    <row r="127" ht="27.0" customHeight="1">
      <c r="A127" s="47" t="s">
        <v>336</v>
      </c>
      <c r="B127" s="48" t="s">
        <v>47</v>
      </c>
      <c r="C127" s="49" t="s">
        <v>329</v>
      </c>
      <c r="D127" s="48" t="s">
        <v>337</v>
      </c>
      <c r="E127" s="51">
        <v>31000.0</v>
      </c>
      <c r="F127" s="93"/>
      <c r="G127" s="53" t="s">
        <v>58</v>
      </c>
    </row>
    <row r="128" ht="27.0" customHeight="1">
      <c r="A128" s="54" t="s">
        <v>338</v>
      </c>
      <c r="B128" s="42" t="s">
        <v>47</v>
      </c>
      <c r="C128" s="44" t="s">
        <v>329</v>
      </c>
      <c r="D128" s="42" t="s">
        <v>339</v>
      </c>
      <c r="E128" s="56">
        <v>87900.0</v>
      </c>
      <c r="F128" s="59" t="s">
        <v>340</v>
      </c>
      <c r="G128" s="46" t="s">
        <v>58</v>
      </c>
    </row>
    <row r="129" ht="27.0" customHeight="1">
      <c r="A129" s="47" t="s">
        <v>341</v>
      </c>
      <c r="B129" s="48" t="s">
        <v>47</v>
      </c>
      <c r="C129" s="49" t="s">
        <v>329</v>
      </c>
      <c r="D129" s="48" t="s">
        <v>342</v>
      </c>
      <c r="E129" s="51">
        <v>123000.0</v>
      </c>
      <c r="F129" s="58" t="s">
        <v>340</v>
      </c>
      <c r="G129" s="53" t="s">
        <v>58</v>
      </c>
    </row>
    <row r="130" ht="27.0" customHeight="1">
      <c r="A130" s="54" t="s">
        <v>343</v>
      </c>
      <c r="B130" s="42" t="s">
        <v>47</v>
      </c>
      <c r="C130" s="44" t="s">
        <v>329</v>
      </c>
      <c r="D130" s="42" t="s">
        <v>344</v>
      </c>
      <c r="E130" s="56">
        <v>87900.0</v>
      </c>
      <c r="F130" s="59" t="s">
        <v>345</v>
      </c>
      <c r="G130" s="46" t="s">
        <v>58</v>
      </c>
    </row>
    <row r="131" ht="27.0" customHeight="1">
      <c r="A131" s="47" t="s">
        <v>346</v>
      </c>
      <c r="B131" s="48" t="s">
        <v>47</v>
      </c>
      <c r="C131" s="49" t="s">
        <v>329</v>
      </c>
      <c r="D131" s="48" t="s">
        <v>347</v>
      </c>
      <c r="E131" s="51">
        <v>123000.0</v>
      </c>
      <c r="F131" s="58" t="s">
        <v>345</v>
      </c>
      <c r="G131" s="53" t="s">
        <v>58</v>
      </c>
    </row>
    <row r="132" ht="27.0" customHeight="1">
      <c r="A132" s="54" t="s">
        <v>348</v>
      </c>
      <c r="B132" s="42" t="s">
        <v>47</v>
      </c>
      <c r="C132" s="44" t="s">
        <v>329</v>
      </c>
      <c r="D132" s="42" t="s">
        <v>349</v>
      </c>
      <c r="E132" s="56">
        <v>87900.0</v>
      </c>
      <c r="F132" s="57" t="s">
        <v>350</v>
      </c>
      <c r="G132" s="46" t="s">
        <v>58</v>
      </c>
    </row>
    <row r="133" ht="27.0" customHeight="1">
      <c r="A133" s="47" t="s">
        <v>351</v>
      </c>
      <c r="B133" s="48" t="s">
        <v>47</v>
      </c>
      <c r="C133" s="49" t="s">
        <v>329</v>
      </c>
      <c r="D133" s="48" t="s">
        <v>352</v>
      </c>
      <c r="E133" s="51">
        <v>98300.0</v>
      </c>
      <c r="F133" s="52" t="s">
        <v>350</v>
      </c>
      <c r="G133" s="53" t="s">
        <v>58</v>
      </c>
    </row>
    <row r="134" ht="27.0" customHeight="1">
      <c r="A134" s="54" t="s">
        <v>353</v>
      </c>
      <c r="B134" s="42" t="s">
        <v>47</v>
      </c>
      <c r="C134" s="44" t="s">
        <v>329</v>
      </c>
      <c r="D134" s="42" t="s">
        <v>354</v>
      </c>
      <c r="E134" s="56">
        <v>155200.0</v>
      </c>
      <c r="F134" s="57" t="s">
        <v>355</v>
      </c>
      <c r="G134" s="46" t="s">
        <v>58</v>
      </c>
    </row>
    <row r="135" ht="27.0" customHeight="1">
      <c r="A135" s="47" t="s">
        <v>356</v>
      </c>
      <c r="B135" s="48" t="s">
        <v>47</v>
      </c>
      <c r="C135" s="49" t="s">
        <v>329</v>
      </c>
      <c r="D135" s="48" t="s">
        <v>357</v>
      </c>
      <c r="E135" s="51">
        <v>289700.0</v>
      </c>
      <c r="F135" s="58" t="s">
        <v>358</v>
      </c>
      <c r="G135" s="53" t="s">
        <v>58</v>
      </c>
    </row>
    <row r="136" ht="27.0" customHeight="1">
      <c r="A136" s="54" t="s">
        <v>359</v>
      </c>
      <c r="B136" s="42" t="s">
        <v>47</v>
      </c>
      <c r="C136" s="44" t="s">
        <v>329</v>
      </c>
      <c r="D136" s="42" t="s">
        <v>360</v>
      </c>
      <c r="E136" s="56">
        <v>175900.0</v>
      </c>
      <c r="F136" s="59" t="s">
        <v>358</v>
      </c>
      <c r="G136" s="46" t="s">
        <v>58</v>
      </c>
    </row>
    <row r="137" ht="27.0" customHeight="1">
      <c r="A137" s="47" t="s">
        <v>361</v>
      </c>
      <c r="B137" s="48" t="s">
        <v>47</v>
      </c>
      <c r="C137" s="49" t="s">
        <v>329</v>
      </c>
      <c r="D137" s="48" t="s">
        <v>362</v>
      </c>
      <c r="E137" s="51">
        <v>155200.0</v>
      </c>
      <c r="F137" s="58" t="s">
        <v>358</v>
      </c>
      <c r="G137" s="53" t="s">
        <v>58</v>
      </c>
    </row>
    <row r="138" ht="27.0" customHeight="1">
      <c r="A138" s="54" t="s">
        <v>363</v>
      </c>
      <c r="B138" s="42" t="s">
        <v>47</v>
      </c>
      <c r="C138" s="44" t="s">
        <v>329</v>
      </c>
      <c r="D138" s="42" t="s">
        <v>364</v>
      </c>
      <c r="E138" s="56">
        <v>119000.0</v>
      </c>
      <c r="F138" s="57" t="s">
        <v>365</v>
      </c>
      <c r="G138" s="46" t="s">
        <v>58</v>
      </c>
    </row>
    <row r="139" ht="27.0" customHeight="1">
      <c r="A139" s="47" t="s">
        <v>366</v>
      </c>
      <c r="B139" s="48" t="s">
        <v>47</v>
      </c>
      <c r="C139" s="49" t="s">
        <v>329</v>
      </c>
      <c r="D139" s="48" t="s">
        <v>367</v>
      </c>
      <c r="E139" s="51">
        <v>51700.0</v>
      </c>
      <c r="F139" s="93"/>
      <c r="G139" s="53" t="s">
        <v>58</v>
      </c>
    </row>
    <row r="140" ht="27.0" customHeight="1">
      <c r="A140" s="54" t="s">
        <v>368</v>
      </c>
      <c r="B140" s="42" t="s">
        <v>47</v>
      </c>
      <c r="C140" s="44" t="s">
        <v>329</v>
      </c>
      <c r="D140" s="42" t="s">
        <v>369</v>
      </c>
      <c r="E140" s="56">
        <v>76500.0</v>
      </c>
      <c r="F140" s="96"/>
      <c r="G140" s="46" t="s">
        <v>58</v>
      </c>
    </row>
    <row r="141" ht="27.0" customHeight="1">
      <c r="A141" s="62" t="s">
        <v>370</v>
      </c>
      <c r="B141" s="48" t="s">
        <v>47</v>
      </c>
      <c r="C141" s="49" t="s">
        <v>329</v>
      </c>
      <c r="D141" s="50" t="s">
        <v>371</v>
      </c>
      <c r="E141" s="51">
        <v>993400.0</v>
      </c>
      <c r="F141" s="52" t="s">
        <v>372</v>
      </c>
      <c r="G141" s="53" t="s">
        <v>58</v>
      </c>
    </row>
    <row r="142" ht="27.0" customHeight="1">
      <c r="A142" s="41" t="s">
        <v>373</v>
      </c>
      <c r="B142" s="42" t="s">
        <v>47</v>
      </c>
      <c r="C142" s="43"/>
      <c r="D142" s="67" t="s">
        <v>374</v>
      </c>
      <c r="E142" s="45" t="s">
        <v>48</v>
      </c>
      <c r="F142" s="44" t="s">
        <v>44</v>
      </c>
      <c r="G142" s="46" t="s">
        <v>58</v>
      </c>
    </row>
    <row r="143" ht="27.0" customHeight="1">
      <c r="A143" s="47" t="s">
        <v>375</v>
      </c>
      <c r="B143" s="48" t="s">
        <v>47</v>
      </c>
      <c r="C143" s="49" t="s">
        <v>376</v>
      </c>
      <c r="D143" s="48" t="s">
        <v>377</v>
      </c>
      <c r="E143" s="51">
        <v>98300.0</v>
      </c>
      <c r="F143" s="58" t="s">
        <v>378</v>
      </c>
      <c r="G143" s="53" t="s">
        <v>58</v>
      </c>
    </row>
    <row r="144" ht="27.0" customHeight="1">
      <c r="A144" s="54" t="s">
        <v>379</v>
      </c>
      <c r="B144" s="42" t="s">
        <v>47</v>
      </c>
      <c r="C144" s="44" t="s">
        <v>376</v>
      </c>
      <c r="D144" s="42" t="s">
        <v>380</v>
      </c>
      <c r="E144" s="56">
        <v>139700.0</v>
      </c>
      <c r="F144" s="59" t="s">
        <v>378</v>
      </c>
      <c r="G144" s="46" t="s">
        <v>58</v>
      </c>
    </row>
    <row r="145" ht="27.0" customHeight="1">
      <c r="A145" s="47" t="s">
        <v>381</v>
      </c>
      <c r="B145" s="48" t="s">
        <v>47</v>
      </c>
      <c r="C145" s="49" t="s">
        <v>376</v>
      </c>
      <c r="D145" s="48" t="s">
        <v>382</v>
      </c>
      <c r="E145" s="51">
        <v>181100.0</v>
      </c>
      <c r="F145" s="58" t="s">
        <v>378</v>
      </c>
      <c r="G145" s="53" t="s">
        <v>58</v>
      </c>
    </row>
    <row r="146" ht="27.0" customHeight="1">
      <c r="A146" s="54" t="s">
        <v>383</v>
      </c>
      <c r="B146" s="42" t="s">
        <v>47</v>
      </c>
      <c r="C146" s="44" t="s">
        <v>376</v>
      </c>
      <c r="D146" s="42" t="s">
        <v>384</v>
      </c>
      <c r="E146" s="56">
        <v>222500.0</v>
      </c>
      <c r="F146" s="59" t="s">
        <v>378</v>
      </c>
      <c r="G146" s="46" t="s">
        <v>58</v>
      </c>
    </row>
    <row r="147" ht="27.0" customHeight="1">
      <c r="A147" s="47" t="s">
        <v>385</v>
      </c>
      <c r="B147" s="48" t="s">
        <v>47</v>
      </c>
      <c r="C147" s="49" t="s">
        <v>376</v>
      </c>
      <c r="D147" s="48" t="s">
        <v>386</v>
      </c>
      <c r="E147" s="51">
        <v>263800.0</v>
      </c>
      <c r="F147" s="58" t="s">
        <v>378</v>
      </c>
      <c r="G147" s="53"/>
    </row>
    <row r="148" ht="27.0" hidden="1" customHeight="1">
      <c r="A148" s="54" t="s">
        <v>385</v>
      </c>
      <c r="B148" s="42" t="s">
        <v>47</v>
      </c>
      <c r="C148" s="44" t="s">
        <v>376</v>
      </c>
      <c r="D148" s="42" t="s">
        <v>386</v>
      </c>
      <c r="E148" s="56">
        <v>221600.0</v>
      </c>
      <c r="F148" s="59" t="s">
        <v>378</v>
      </c>
      <c r="G148" s="46" t="s">
        <v>58</v>
      </c>
    </row>
    <row r="149" ht="27.0" customHeight="1">
      <c r="A149" s="47" t="s">
        <v>387</v>
      </c>
      <c r="B149" s="48" t="s">
        <v>47</v>
      </c>
      <c r="C149" s="49" t="s">
        <v>376</v>
      </c>
      <c r="D149" s="48" t="s">
        <v>388</v>
      </c>
      <c r="E149" s="51">
        <v>1034800.0</v>
      </c>
      <c r="F149" s="52" t="s">
        <v>389</v>
      </c>
      <c r="G149" s="53" t="s">
        <v>58</v>
      </c>
    </row>
    <row r="150" ht="27.0" customHeight="1">
      <c r="A150" s="54" t="s">
        <v>390</v>
      </c>
      <c r="B150" s="42" t="s">
        <v>47</v>
      </c>
      <c r="C150" s="44" t="s">
        <v>376</v>
      </c>
      <c r="D150" s="42" t="s">
        <v>391</v>
      </c>
      <c r="E150" s="56">
        <v>344900.0</v>
      </c>
      <c r="F150" s="57" t="s">
        <v>392</v>
      </c>
      <c r="G150" s="46" t="s">
        <v>58</v>
      </c>
    </row>
    <row r="151" ht="27.0" customHeight="1">
      <c r="A151" s="47" t="s">
        <v>393</v>
      </c>
      <c r="B151" s="48" t="s">
        <v>47</v>
      </c>
      <c r="C151" s="49" t="s">
        <v>376</v>
      </c>
      <c r="D151" s="48" t="s">
        <v>394</v>
      </c>
      <c r="E151" s="51">
        <v>362200.0</v>
      </c>
      <c r="F151" s="52" t="s">
        <v>395</v>
      </c>
      <c r="G151" s="53" t="s">
        <v>58</v>
      </c>
    </row>
    <row r="152" ht="27.0" customHeight="1">
      <c r="A152" s="54" t="s">
        <v>396</v>
      </c>
      <c r="B152" s="42" t="s">
        <v>47</v>
      </c>
      <c r="C152" s="44" t="s">
        <v>376</v>
      </c>
      <c r="D152" s="42" t="s">
        <v>397</v>
      </c>
      <c r="E152" s="56">
        <v>331100.0</v>
      </c>
      <c r="F152" s="59" t="s">
        <v>398</v>
      </c>
      <c r="G152" s="46" t="s">
        <v>58</v>
      </c>
    </row>
    <row r="153" ht="27.0" customHeight="1">
      <c r="A153" s="47" t="s">
        <v>399</v>
      </c>
      <c r="B153" s="48" t="s">
        <v>47</v>
      </c>
      <c r="C153" s="49" t="s">
        <v>376</v>
      </c>
      <c r="D153" s="48" t="s">
        <v>400</v>
      </c>
      <c r="E153" s="51">
        <v>484600.0</v>
      </c>
      <c r="F153" s="58" t="s">
        <v>398</v>
      </c>
      <c r="G153" s="53" t="s">
        <v>58</v>
      </c>
    </row>
    <row r="154" ht="27.0" customHeight="1">
      <c r="A154" s="54" t="s">
        <v>401</v>
      </c>
      <c r="B154" s="42" t="s">
        <v>47</v>
      </c>
      <c r="C154" s="44" t="s">
        <v>376</v>
      </c>
      <c r="D154" s="42" t="s">
        <v>402</v>
      </c>
      <c r="E154" s="56">
        <v>1240000.0</v>
      </c>
      <c r="F154" s="59" t="s">
        <v>398</v>
      </c>
      <c r="G154" s="46" t="s">
        <v>58</v>
      </c>
    </row>
    <row r="155" ht="27.0" customHeight="1">
      <c r="A155" s="47" t="s">
        <v>403</v>
      </c>
      <c r="B155" s="48" t="s">
        <v>47</v>
      </c>
      <c r="C155" s="49" t="s">
        <v>376</v>
      </c>
      <c r="D155" s="48" t="s">
        <v>404</v>
      </c>
      <c r="E155" s="51">
        <v>0.0</v>
      </c>
      <c r="F155" s="58" t="s">
        <v>405</v>
      </c>
      <c r="G155" s="53" t="s">
        <v>58</v>
      </c>
    </row>
    <row r="156" ht="27.0" customHeight="1">
      <c r="A156" s="54" t="s">
        <v>406</v>
      </c>
      <c r="B156" s="42" t="s">
        <v>47</v>
      </c>
      <c r="C156" s="44" t="s">
        <v>376</v>
      </c>
      <c r="D156" s="42" t="s">
        <v>407</v>
      </c>
      <c r="E156" s="56">
        <v>0.0</v>
      </c>
      <c r="F156" s="59" t="s">
        <v>405</v>
      </c>
      <c r="G156" s="46" t="s">
        <v>58</v>
      </c>
    </row>
    <row r="157" ht="27.0" customHeight="1">
      <c r="A157" s="47" t="s">
        <v>408</v>
      </c>
      <c r="B157" s="48" t="s">
        <v>47</v>
      </c>
      <c r="C157" s="49" t="s">
        <v>376</v>
      </c>
      <c r="D157" s="48" t="s">
        <v>409</v>
      </c>
      <c r="E157" s="51">
        <v>0.0</v>
      </c>
      <c r="F157" s="58" t="s">
        <v>405</v>
      </c>
      <c r="G157" s="53" t="s">
        <v>58</v>
      </c>
    </row>
    <row r="158" ht="27.0" customHeight="1">
      <c r="A158" s="41" t="s">
        <v>410</v>
      </c>
      <c r="B158" s="42" t="s">
        <v>47</v>
      </c>
      <c r="C158" s="43"/>
      <c r="D158" s="67" t="s">
        <v>411</v>
      </c>
      <c r="E158" s="45" t="s">
        <v>48</v>
      </c>
      <c r="F158" s="44" t="s">
        <v>44</v>
      </c>
      <c r="G158" s="46" t="s">
        <v>58</v>
      </c>
    </row>
    <row r="159" ht="27.0" customHeight="1">
      <c r="A159" s="47" t="s">
        <v>412</v>
      </c>
      <c r="B159" s="48" t="s">
        <v>47</v>
      </c>
      <c r="C159" s="49" t="s">
        <v>413</v>
      </c>
      <c r="D159" s="48" t="s">
        <v>414</v>
      </c>
      <c r="E159" s="51">
        <v>76700.0</v>
      </c>
      <c r="F159" s="58" t="s">
        <v>415</v>
      </c>
      <c r="G159" s="53" t="s">
        <v>58</v>
      </c>
    </row>
    <row r="160" ht="24.75" customHeight="1">
      <c r="A160" s="54" t="s">
        <v>416</v>
      </c>
      <c r="B160" s="42" t="s">
        <v>47</v>
      </c>
      <c r="C160" s="44" t="s">
        <v>413</v>
      </c>
      <c r="D160" s="42" t="s">
        <v>417</v>
      </c>
      <c r="E160" s="56">
        <v>98600.0</v>
      </c>
      <c r="F160" s="59" t="s">
        <v>415</v>
      </c>
      <c r="G160" s="46" t="s">
        <v>58</v>
      </c>
    </row>
    <row r="161" ht="24.75" customHeight="1">
      <c r="A161" s="47" t="s">
        <v>418</v>
      </c>
      <c r="B161" s="48" t="s">
        <v>47</v>
      </c>
      <c r="C161" s="49" t="s">
        <v>413</v>
      </c>
      <c r="D161" s="48" t="s">
        <v>419</v>
      </c>
      <c r="E161" s="51">
        <v>120600.0</v>
      </c>
      <c r="F161" s="58" t="s">
        <v>415</v>
      </c>
      <c r="G161" s="53" t="s">
        <v>58</v>
      </c>
    </row>
    <row r="162" ht="24.75" customHeight="1">
      <c r="A162" s="54" t="s">
        <v>420</v>
      </c>
      <c r="B162" s="42" t="s">
        <v>47</v>
      </c>
      <c r="C162" s="44" t="s">
        <v>413</v>
      </c>
      <c r="D162" s="42" t="s">
        <v>421</v>
      </c>
      <c r="E162" s="56">
        <v>27400.0</v>
      </c>
      <c r="F162" s="59" t="s">
        <v>415</v>
      </c>
      <c r="G162" s="46" t="s">
        <v>58</v>
      </c>
    </row>
    <row r="163" ht="24.75" customHeight="1">
      <c r="A163" s="47" t="s">
        <v>422</v>
      </c>
      <c r="B163" s="48" t="s">
        <v>47</v>
      </c>
      <c r="C163" s="49" t="s">
        <v>413</v>
      </c>
      <c r="D163" s="48" t="s">
        <v>423</v>
      </c>
      <c r="E163" s="51">
        <v>99700.0</v>
      </c>
      <c r="F163" s="58" t="s">
        <v>415</v>
      </c>
      <c r="G163" s="53" t="s">
        <v>58</v>
      </c>
    </row>
    <row r="164" ht="24.75" customHeight="1">
      <c r="A164" s="54" t="s">
        <v>424</v>
      </c>
      <c r="B164" s="42" t="s">
        <v>47</v>
      </c>
      <c r="C164" s="44" t="s">
        <v>413</v>
      </c>
      <c r="D164" s="42" t="s">
        <v>425</v>
      </c>
      <c r="E164" s="56">
        <v>106200.0</v>
      </c>
      <c r="F164" s="59" t="s">
        <v>415</v>
      </c>
      <c r="G164" s="46" t="s">
        <v>58</v>
      </c>
    </row>
    <row r="165" ht="24.75" customHeight="1">
      <c r="A165" s="47" t="s">
        <v>426</v>
      </c>
      <c r="B165" s="48" t="s">
        <v>47</v>
      </c>
      <c r="C165" s="49" t="s">
        <v>413</v>
      </c>
      <c r="D165" s="48" t="s">
        <v>427</v>
      </c>
      <c r="E165" s="51">
        <v>156800.0</v>
      </c>
      <c r="F165" s="58" t="s">
        <v>415</v>
      </c>
      <c r="G165" s="53" t="s">
        <v>58</v>
      </c>
    </row>
    <row r="166" ht="24.75" customHeight="1">
      <c r="A166" s="54" t="s">
        <v>428</v>
      </c>
      <c r="B166" s="42" t="s">
        <v>47</v>
      </c>
      <c r="C166" s="44" t="s">
        <v>413</v>
      </c>
      <c r="D166" s="42" t="s">
        <v>429</v>
      </c>
      <c r="E166" s="56">
        <v>35600.0</v>
      </c>
      <c r="F166" s="59" t="s">
        <v>415</v>
      </c>
      <c r="G166" s="46" t="s">
        <v>58</v>
      </c>
    </row>
    <row r="167" ht="24.75" customHeight="1">
      <c r="A167" s="64" t="s">
        <v>430</v>
      </c>
      <c r="B167" s="48" t="s">
        <v>47</v>
      </c>
      <c r="C167" s="65"/>
      <c r="D167" s="67" t="s">
        <v>431</v>
      </c>
      <c r="E167" s="66" t="s">
        <v>48</v>
      </c>
      <c r="F167" s="49" t="s">
        <v>44</v>
      </c>
      <c r="G167" s="53" t="s">
        <v>58</v>
      </c>
    </row>
    <row r="168" ht="24.75" customHeight="1">
      <c r="A168" s="54" t="s">
        <v>432</v>
      </c>
      <c r="B168" s="42" t="s">
        <v>47</v>
      </c>
      <c r="C168" s="44" t="s">
        <v>433</v>
      </c>
      <c r="D168" s="99" t="s">
        <v>434</v>
      </c>
      <c r="E168" s="56">
        <v>61600.0</v>
      </c>
      <c r="F168" s="59" t="s">
        <v>435</v>
      </c>
      <c r="G168" s="46" t="s">
        <v>58</v>
      </c>
    </row>
    <row r="169" ht="24.75" customHeight="1">
      <c r="A169" s="47" t="s">
        <v>436</v>
      </c>
      <c r="B169" s="48" t="s">
        <v>47</v>
      </c>
      <c r="C169" s="49" t="s">
        <v>433</v>
      </c>
      <c r="D169" s="99" t="s">
        <v>437</v>
      </c>
      <c r="E169" s="51">
        <v>91900.0</v>
      </c>
      <c r="F169" s="58" t="s">
        <v>435</v>
      </c>
      <c r="G169" s="53" t="s">
        <v>58</v>
      </c>
    </row>
    <row r="170" ht="24.75" customHeight="1">
      <c r="A170" s="54" t="s">
        <v>438</v>
      </c>
      <c r="B170" s="42" t="s">
        <v>47</v>
      </c>
      <c r="C170" s="44" t="s">
        <v>433</v>
      </c>
      <c r="D170" s="99" t="s">
        <v>439</v>
      </c>
      <c r="E170" s="56">
        <v>139600.0</v>
      </c>
      <c r="F170" s="59" t="s">
        <v>435</v>
      </c>
      <c r="G170" s="46" t="s">
        <v>58</v>
      </c>
    </row>
    <row r="171" ht="24.75" customHeight="1">
      <c r="A171" s="47" t="s">
        <v>440</v>
      </c>
      <c r="B171" s="48" t="s">
        <v>47</v>
      </c>
      <c r="C171" s="49" t="s">
        <v>433</v>
      </c>
      <c r="D171" s="99" t="s">
        <v>441</v>
      </c>
      <c r="E171" s="51">
        <v>62100.0</v>
      </c>
      <c r="F171" s="58" t="s">
        <v>435</v>
      </c>
      <c r="G171" s="53" t="s">
        <v>58</v>
      </c>
    </row>
    <row r="172" ht="24.75" customHeight="1">
      <c r="A172" s="54" t="s">
        <v>442</v>
      </c>
      <c r="B172" s="42" t="s">
        <v>47</v>
      </c>
      <c r="C172" s="44" t="s">
        <v>433</v>
      </c>
      <c r="D172" s="99" t="s">
        <v>443</v>
      </c>
      <c r="E172" s="56">
        <v>118400.0</v>
      </c>
      <c r="F172" s="57" t="s">
        <v>444</v>
      </c>
      <c r="G172" s="46" t="s">
        <v>58</v>
      </c>
    </row>
    <row r="173" ht="24.75" customHeight="1">
      <c r="A173" s="47" t="s">
        <v>445</v>
      </c>
      <c r="B173" s="48" t="s">
        <v>47</v>
      </c>
      <c r="C173" s="49" t="s">
        <v>433</v>
      </c>
      <c r="D173" s="99" t="s">
        <v>446</v>
      </c>
      <c r="E173" s="51">
        <v>89800.0</v>
      </c>
      <c r="F173" s="58" t="s">
        <v>447</v>
      </c>
      <c r="G173" s="53" t="s">
        <v>58</v>
      </c>
    </row>
    <row r="174" ht="24.75" customHeight="1">
      <c r="A174" s="54" t="s">
        <v>448</v>
      </c>
      <c r="B174" s="42" t="s">
        <v>47</v>
      </c>
      <c r="C174" s="44" t="s">
        <v>433</v>
      </c>
      <c r="D174" s="99" t="s">
        <v>449</v>
      </c>
      <c r="E174" s="56">
        <v>102600.0</v>
      </c>
      <c r="F174" s="59" t="s">
        <v>447</v>
      </c>
      <c r="G174" s="46" t="s">
        <v>58</v>
      </c>
    </row>
    <row r="175" ht="24.75" customHeight="1">
      <c r="A175" s="47" t="s">
        <v>450</v>
      </c>
      <c r="B175" s="48" t="s">
        <v>47</v>
      </c>
      <c r="C175" s="49" t="s">
        <v>433</v>
      </c>
      <c r="D175" s="99" t="s">
        <v>451</v>
      </c>
      <c r="E175" s="51">
        <v>414500.0</v>
      </c>
      <c r="F175" s="58" t="s">
        <v>447</v>
      </c>
      <c r="G175" s="53" t="s">
        <v>58</v>
      </c>
    </row>
    <row r="176" ht="24.75" customHeight="1">
      <c r="A176" s="41" t="s">
        <v>452</v>
      </c>
      <c r="B176" s="42" t="s">
        <v>47</v>
      </c>
      <c r="C176" s="43"/>
      <c r="D176" s="67" t="s">
        <v>453</v>
      </c>
      <c r="E176" s="45" t="s">
        <v>48</v>
      </c>
      <c r="F176" s="44" t="s">
        <v>44</v>
      </c>
      <c r="G176" s="46" t="s">
        <v>58</v>
      </c>
    </row>
    <row r="177" ht="24.75" customHeight="1">
      <c r="A177" s="47" t="s">
        <v>454</v>
      </c>
      <c r="B177" s="48" t="s">
        <v>47</v>
      </c>
      <c r="C177" s="49" t="s">
        <v>455</v>
      </c>
      <c r="D177" s="48" t="s">
        <v>456</v>
      </c>
      <c r="E177" s="51">
        <v>80200.0</v>
      </c>
      <c r="F177" s="58" t="s">
        <v>457</v>
      </c>
      <c r="G177" s="53" t="s">
        <v>58</v>
      </c>
    </row>
    <row r="178" ht="24.75" customHeight="1">
      <c r="A178" s="54" t="s">
        <v>458</v>
      </c>
      <c r="B178" s="42" t="s">
        <v>47</v>
      </c>
      <c r="C178" s="44" t="s">
        <v>455</v>
      </c>
      <c r="D178" s="42" t="s">
        <v>459</v>
      </c>
      <c r="E178" s="56">
        <v>120300.0</v>
      </c>
      <c r="F178" s="59" t="s">
        <v>457</v>
      </c>
      <c r="G178" s="46" t="s">
        <v>58</v>
      </c>
    </row>
    <row r="179" ht="24.75" customHeight="1">
      <c r="A179" s="47" t="s">
        <v>460</v>
      </c>
      <c r="B179" s="48" t="s">
        <v>47</v>
      </c>
      <c r="C179" s="49" t="s">
        <v>455</v>
      </c>
      <c r="D179" s="48" t="s">
        <v>461</v>
      </c>
      <c r="E179" s="51">
        <v>200500.0</v>
      </c>
      <c r="F179" s="58" t="s">
        <v>457</v>
      </c>
      <c r="G179" s="53" t="s">
        <v>58</v>
      </c>
    </row>
    <row r="180" ht="24.75" customHeight="1">
      <c r="A180" s="54" t="s">
        <v>462</v>
      </c>
      <c r="B180" s="42" t="s">
        <v>47</v>
      </c>
      <c r="C180" s="44" t="s">
        <v>455</v>
      </c>
      <c r="D180" s="42" t="s">
        <v>463</v>
      </c>
      <c r="E180" s="56">
        <v>288700.0</v>
      </c>
      <c r="F180" s="59" t="s">
        <v>457</v>
      </c>
      <c r="G180" s="46" t="s">
        <v>58</v>
      </c>
    </row>
    <row r="181" ht="24.75" customHeight="1">
      <c r="A181" s="47" t="s">
        <v>464</v>
      </c>
      <c r="B181" s="48" t="s">
        <v>47</v>
      </c>
      <c r="C181" s="49" t="s">
        <v>455</v>
      </c>
      <c r="D181" s="48" t="s">
        <v>465</v>
      </c>
      <c r="E181" s="51">
        <v>401100.0</v>
      </c>
      <c r="F181" s="58" t="s">
        <v>457</v>
      </c>
      <c r="G181" s="53" t="s">
        <v>58</v>
      </c>
    </row>
    <row r="182" ht="24.75" customHeight="1">
      <c r="A182" s="54" t="s">
        <v>466</v>
      </c>
      <c r="B182" s="42" t="s">
        <v>47</v>
      </c>
      <c r="C182" s="44" t="s">
        <v>455</v>
      </c>
      <c r="D182" s="42" t="s">
        <v>467</v>
      </c>
      <c r="E182" s="100">
        <v>0.07</v>
      </c>
      <c r="F182" s="57" t="s">
        <v>468</v>
      </c>
      <c r="G182" s="46" t="s">
        <v>58</v>
      </c>
    </row>
    <row r="183" ht="24.75" customHeight="1">
      <c r="A183" s="47" t="s">
        <v>469</v>
      </c>
      <c r="B183" s="48" t="s">
        <v>47</v>
      </c>
      <c r="C183" s="49" t="s">
        <v>455</v>
      </c>
      <c r="D183" s="48" t="s">
        <v>470</v>
      </c>
      <c r="E183" s="51">
        <v>40100.0</v>
      </c>
      <c r="F183" s="102"/>
      <c r="G183" s="53" t="s">
        <v>58</v>
      </c>
    </row>
    <row r="184" ht="24.75" customHeight="1">
      <c r="A184" s="54" t="s">
        <v>471</v>
      </c>
      <c r="B184" s="42" t="s">
        <v>47</v>
      </c>
      <c r="C184" s="44" t="s">
        <v>455</v>
      </c>
      <c r="D184" s="42" t="s">
        <v>472</v>
      </c>
      <c r="E184" s="56">
        <v>62700.0</v>
      </c>
      <c r="F184" s="57" t="s">
        <v>473</v>
      </c>
      <c r="G184" s="46" t="s">
        <v>58</v>
      </c>
    </row>
    <row r="185" ht="24.75" customHeight="1">
      <c r="A185" s="47" t="s">
        <v>474</v>
      </c>
      <c r="B185" s="48" t="s">
        <v>47</v>
      </c>
      <c r="C185" s="49" t="s">
        <v>455</v>
      </c>
      <c r="D185" s="48" t="s">
        <v>475</v>
      </c>
      <c r="E185" s="51">
        <v>65500.0</v>
      </c>
      <c r="F185" s="102"/>
      <c r="G185" s="53" t="s">
        <v>58</v>
      </c>
    </row>
    <row r="186" ht="24.75" customHeight="1">
      <c r="A186" s="54" t="s">
        <v>476</v>
      </c>
      <c r="B186" s="42" t="s">
        <v>47</v>
      </c>
      <c r="C186" s="44" t="s">
        <v>455</v>
      </c>
      <c r="D186" s="42" t="s">
        <v>477</v>
      </c>
      <c r="E186" s="56">
        <v>19200.0</v>
      </c>
      <c r="F186" s="103"/>
      <c r="G186" s="46" t="s">
        <v>58</v>
      </c>
    </row>
    <row r="187" ht="24.75" customHeight="1">
      <c r="A187" s="47" t="s">
        <v>478</v>
      </c>
      <c r="B187" s="48" t="s">
        <v>47</v>
      </c>
      <c r="C187" s="49" t="s">
        <v>455</v>
      </c>
      <c r="D187" s="48" t="s">
        <v>479</v>
      </c>
      <c r="E187" s="51">
        <v>58400.0</v>
      </c>
      <c r="F187" s="58" t="s">
        <v>480</v>
      </c>
      <c r="G187" s="53" t="s">
        <v>58</v>
      </c>
    </row>
    <row r="188" ht="24.75" customHeight="1">
      <c r="A188" s="54" t="s">
        <v>481</v>
      </c>
      <c r="B188" s="42" t="s">
        <v>47</v>
      </c>
      <c r="C188" s="44" t="s">
        <v>455</v>
      </c>
      <c r="D188" s="42" t="s">
        <v>482</v>
      </c>
      <c r="E188" s="56">
        <v>101500.0</v>
      </c>
      <c r="F188" s="59" t="s">
        <v>480</v>
      </c>
      <c r="G188" s="46" t="s">
        <v>58</v>
      </c>
    </row>
    <row r="189" ht="24.75" customHeight="1">
      <c r="A189" s="47" t="s">
        <v>483</v>
      </c>
      <c r="B189" s="48" t="s">
        <v>47</v>
      </c>
      <c r="C189" s="49" t="s">
        <v>455</v>
      </c>
      <c r="D189" s="48" t="s">
        <v>484</v>
      </c>
      <c r="E189" s="51">
        <v>20700.0</v>
      </c>
      <c r="F189" s="58" t="s">
        <v>480</v>
      </c>
      <c r="G189" s="53" t="s">
        <v>58</v>
      </c>
    </row>
    <row r="190" ht="24.75" customHeight="1">
      <c r="A190" s="54" t="s">
        <v>485</v>
      </c>
      <c r="B190" s="42" t="s">
        <v>47</v>
      </c>
      <c r="C190" s="44" t="s">
        <v>455</v>
      </c>
      <c r="D190" s="42" t="s">
        <v>486</v>
      </c>
      <c r="E190" s="56">
        <v>33400.0</v>
      </c>
      <c r="F190" s="103"/>
      <c r="G190" s="46" t="s">
        <v>58</v>
      </c>
    </row>
    <row r="191" ht="24.75" customHeight="1">
      <c r="A191" s="47" t="s">
        <v>487</v>
      </c>
      <c r="B191" s="48" t="s">
        <v>47</v>
      </c>
      <c r="C191" s="49" t="s">
        <v>455</v>
      </c>
      <c r="D191" s="48" t="s">
        <v>488</v>
      </c>
      <c r="E191" s="51">
        <v>51900.0</v>
      </c>
      <c r="F191" s="52" t="s">
        <v>489</v>
      </c>
      <c r="G191" s="53" t="s">
        <v>58</v>
      </c>
    </row>
    <row r="192" ht="24.75" customHeight="1">
      <c r="A192" s="54" t="s">
        <v>490</v>
      </c>
      <c r="B192" s="42" t="s">
        <v>47</v>
      </c>
      <c r="C192" s="44" t="s">
        <v>455</v>
      </c>
      <c r="D192" s="42" t="s">
        <v>491</v>
      </c>
      <c r="E192" s="56">
        <v>74600.0</v>
      </c>
      <c r="F192" s="103"/>
      <c r="G192" s="46" t="s">
        <v>58</v>
      </c>
    </row>
    <row r="193" ht="24.75" customHeight="1">
      <c r="A193" s="47" t="s">
        <v>492</v>
      </c>
      <c r="B193" s="48" t="s">
        <v>47</v>
      </c>
      <c r="C193" s="49" t="s">
        <v>455</v>
      </c>
      <c r="D193" s="48" t="s">
        <v>493</v>
      </c>
      <c r="E193" s="51">
        <v>88200.0</v>
      </c>
      <c r="F193" s="52" t="s">
        <v>494</v>
      </c>
      <c r="G193" s="53" t="s">
        <v>58</v>
      </c>
    </row>
    <row r="194" ht="24.75" customHeight="1">
      <c r="A194" s="54" t="s">
        <v>495</v>
      </c>
      <c r="B194" s="42" t="s">
        <v>47</v>
      </c>
      <c r="C194" s="44" t="s">
        <v>455</v>
      </c>
      <c r="D194" s="42" t="s">
        <v>496</v>
      </c>
      <c r="E194" s="56">
        <v>422800.0</v>
      </c>
      <c r="F194" s="57" t="s">
        <v>497</v>
      </c>
      <c r="G194" s="46" t="s">
        <v>58</v>
      </c>
    </row>
    <row r="195" ht="24.75" customHeight="1">
      <c r="A195" s="47" t="s">
        <v>498</v>
      </c>
      <c r="B195" s="48" t="s">
        <v>47</v>
      </c>
      <c r="C195" s="49" t="s">
        <v>455</v>
      </c>
      <c r="D195" s="48" t="s">
        <v>499</v>
      </c>
      <c r="E195" s="51">
        <v>576400.0</v>
      </c>
      <c r="F195" s="52" t="s">
        <v>497</v>
      </c>
      <c r="G195" s="53" t="s">
        <v>58</v>
      </c>
    </row>
    <row r="196" ht="24.75" customHeight="1">
      <c r="A196" s="54" t="s">
        <v>500</v>
      </c>
      <c r="B196" s="42" t="s">
        <v>47</v>
      </c>
      <c r="C196" s="44" t="s">
        <v>455</v>
      </c>
      <c r="D196" s="42" t="s">
        <v>501</v>
      </c>
      <c r="E196" s="56">
        <v>221100.0</v>
      </c>
      <c r="F196" s="57" t="s">
        <v>502</v>
      </c>
      <c r="G196" s="46" t="s">
        <v>58</v>
      </c>
    </row>
    <row r="197" ht="24.75" customHeight="1">
      <c r="A197" s="47" t="s">
        <v>503</v>
      </c>
      <c r="B197" s="48" t="s">
        <v>47</v>
      </c>
      <c r="C197" s="49" t="s">
        <v>455</v>
      </c>
      <c r="D197" s="48" t="s">
        <v>504</v>
      </c>
      <c r="E197" s="51">
        <v>284300.0</v>
      </c>
      <c r="F197" s="52" t="s">
        <v>502</v>
      </c>
      <c r="G197" s="53" t="s">
        <v>58</v>
      </c>
    </row>
    <row r="198" ht="24.75" customHeight="1">
      <c r="A198" s="54" t="s">
        <v>505</v>
      </c>
      <c r="B198" s="42" t="s">
        <v>47</v>
      </c>
      <c r="C198" s="44" t="s">
        <v>455</v>
      </c>
      <c r="D198" s="42" t="s">
        <v>506</v>
      </c>
      <c r="E198" s="56">
        <v>59200.0</v>
      </c>
      <c r="F198" s="59" t="s">
        <v>507</v>
      </c>
      <c r="G198" s="46" t="s">
        <v>58</v>
      </c>
    </row>
    <row r="199" ht="24.75" customHeight="1">
      <c r="A199" s="47" t="s">
        <v>508</v>
      </c>
      <c r="B199" s="48" t="s">
        <v>47</v>
      </c>
      <c r="C199" s="49" t="s">
        <v>455</v>
      </c>
      <c r="D199" s="48" t="s">
        <v>509</v>
      </c>
      <c r="E199" s="51">
        <v>118400.0</v>
      </c>
      <c r="F199" s="58" t="s">
        <v>507</v>
      </c>
      <c r="G199" s="53" t="s">
        <v>58</v>
      </c>
    </row>
    <row r="200" ht="24.75" customHeight="1">
      <c r="A200" s="54" t="s">
        <v>510</v>
      </c>
      <c r="B200" s="42" t="s">
        <v>47</v>
      </c>
      <c r="C200" s="44" t="s">
        <v>455</v>
      </c>
      <c r="D200" s="42" t="s">
        <v>511</v>
      </c>
      <c r="E200" s="56">
        <v>157900.0</v>
      </c>
      <c r="F200" s="59" t="s">
        <v>507</v>
      </c>
      <c r="G200" s="46" t="s">
        <v>58</v>
      </c>
    </row>
    <row r="201" ht="24.75" customHeight="1">
      <c r="A201" s="47" t="s">
        <v>512</v>
      </c>
      <c r="B201" s="48" t="s">
        <v>47</v>
      </c>
      <c r="C201" s="49" t="s">
        <v>455</v>
      </c>
      <c r="D201" s="48" t="s">
        <v>513</v>
      </c>
      <c r="E201" s="51">
        <v>118400.0</v>
      </c>
      <c r="F201" s="52" t="s">
        <v>514</v>
      </c>
      <c r="G201" s="53" t="s">
        <v>58</v>
      </c>
    </row>
    <row r="202" ht="24.75" customHeight="1">
      <c r="A202" s="54" t="s">
        <v>515</v>
      </c>
      <c r="B202" s="42" t="s">
        <v>47</v>
      </c>
      <c r="C202" s="44" t="s">
        <v>455</v>
      </c>
      <c r="D202" s="42" t="s">
        <v>516</v>
      </c>
      <c r="E202" s="56">
        <v>187500.0</v>
      </c>
      <c r="F202" s="57" t="s">
        <v>514</v>
      </c>
      <c r="G202" s="46" t="s">
        <v>58</v>
      </c>
    </row>
    <row r="203" ht="24.75" customHeight="1">
      <c r="A203" s="47" t="s">
        <v>517</v>
      </c>
      <c r="B203" s="48" t="s">
        <v>47</v>
      </c>
      <c r="C203" s="49" t="s">
        <v>455</v>
      </c>
      <c r="D203" s="48" t="s">
        <v>518</v>
      </c>
      <c r="E203" s="51">
        <v>493500.0</v>
      </c>
      <c r="F203" s="58" t="s">
        <v>519</v>
      </c>
      <c r="G203" s="53" t="s">
        <v>58</v>
      </c>
    </row>
    <row r="204" ht="24.75" customHeight="1">
      <c r="A204" s="54" t="s">
        <v>520</v>
      </c>
      <c r="B204" s="42" t="s">
        <v>47</v>
      </c>
      <c r="C204" s="44" t="s">
        <v>455</v>
      </c>
      <c r="D204" s="42" t="s">
        <v>521</v>
      </c>
      <c r="E204" s="56">
        <v>888400.0</v>
      </c>
      <c r="F204" s="59" t="s">
        <v>519</v>
      </c>
      <c r="G204" s="46" t="s">
        <v>58</v>
      </c>
    </row>
    <row r="205" ht="24.75" customHeight="1">
      <c r="A205" s="47" t="s">
        <v>522</v>
      </c>
      <c r="B205" s="48" t="s">
        <v>47</v>
      </c>
      <c r="C205" s="49" t="s">
        <v>455</v>
      </c>
      <c r="D205" s="48" t="s">
        <v>523</v>
      </c>
      <c r="E205" s="51">
        <v>1184500.0</v>
      </c>
      <c r="F205" s="58" t="s">
        <v>519</v>
      </c>
      <c r="G205" s="53" t="s">
        <v>58</v>
      </c>
    </row>
    <row r="206" ht="24.75" customHeight="1">
      <c r="A206" s="41" t="s">
        <v>524</v>
      </c>
      <c r="B206" s="42" t="s">
        <v>47</v>
      </c>
      <c r="C206" s="43"/>
      <c r="D206" s="67" t="s">
        <v>525</v>
      </c>
      <c r="E206" s="45" t="s">
        <v>48</v>
      </c>
      <c r="F206" s="44" t="s">
        <v>44</v>
      </c>
      <c r="G206" s="46" t="s">
        <v>58</v>
      </c>
    </row>
    <row r="207" ht="24.75" customHeight="1">
      <c r="A207" s="47" t="s">
        <v>526</v>
      </c>
      <c r="B207" s="48" t="s">
        <v>47</v>
      </c>
      <c r="C207" s="49" t="s">
        <v>527</v>
      </c>
      <c r="D207" s="48" t="s">
        <v>528</v>
      </c>
      <c r="E207" s="51">
        <v>88800.0</v>
      </c>
      <c r="F207" s="58" t="s">
        <v>529</v>
      </c>
      <c r="G207" s="53" t="s">
        <v>58</v>
      </c>
    </row>
    <row r="208" ht="24.75" customHeight="1">
      <c r="A208" s="54" t="s">
        <v>530</v>
      </c>
      <c r="B208" s="42" t="s">
        <v>47</v>
      </c>
      <c r="C208" s="44" t="s">
        <v>527</v>
      </c>
      <c r="D208" s="42" t="s">
        <v>531</v>
      </c>
      <c r="E208" s="56">
        <v>133300.0</v>
      </c>
      <c r="F208" s="59" t="s">
        <v>529</v>
      </c>
      <c r="G208" s="46" t="s">
        <v>58</v>
      </c>
    </row>
    <row r="209" ht="24.75" customHeight="1">
      <c r="A209" s="47" t="s">
        <v>532</v>
      </c>
      <c r="B209" s="48" t="s">
        <v>47</v>
      </c>
      <c r="C209" s="49" t="s">
        <v>527</v>
      </c>
      <c r="D209" s="48" t="s">
        <v>533</v>
      </c>
      <c r="E209" s="51">
        <v>26900.0</v>
      </c>
      <c r="F209" s="58" t="s">
        <v>529</v>
      </c>
      <c r="G209" s="53" t="s">
        <v>58</v>
      </c>
    </row>
    <row r="210" ht="24.75" customHeight="1">
      <c r="A210" s="54" t="s">
        <v>534</v>
      </c>
      <c r="B210" s="42" t="s">
        <v>47</v>
      </c>
      <c r="C210" s="44" t="s">
        <v>527</v>
      </c>
      <c r="D210" s="42" t="s">
        <v>535</v>
      </c>
      <c r="E210" s="56">
        <v>169100.0</v>
      </c>
      <c r="F210" s="59" t="s">
        <v>529</v>
      </c>
      <c r="G210" s="46" t="s">
        <v>58</v>
      </c>
    </row>
    <row r="211" ht="24.75" customHeight="1">
      <c r="A211" s="47" t="s">
        <v>536</v>
      </c>
      <c r="B211" s="48" t="s">
        <v>47</v>
      </c>
      <c r="C211" s="49" t="s">
        <v>527</v>
      </c>
      <c r="D211" s="48" t="s">
        <v>537</v>
      </c>
      <c r="E211" s="51">
        <v>46200.0</v>
      </c>
      <c r="F211" s="58" t="s">
        <v>529</v>
      </c>
      <c r="G211" s="53" t="s">
        <v>58</v>
      </c>
    </row>
    <row r="212" ht="24.75" customHeight="1">
      <c r="A212" s="41" t="s">
        <v>538</v>
      </c>
      <c r="B212" s="42" t="s">
        <v>47</v>
      </c>
      <c r="C212" s="43"/>
      <c r="D212" s="67" t="s">
        <v>539</v>
      </c>
      <c r="E212" s="45" t="s">
        <v>48</v>
      </c>
      <c r="F212" s="44" t="s">
        <v>44</v>
      </c>
      <c r="G212" s="46" t="s">
        <v>58</v>
      </c>
    </row>
    <row r="213" ht="24.75" customHeight="1">
      <c r="A213" s="47" t="s">
        <v>540</v>
      </c>
      <c r="B213" s="48" t="s">
        <v>47</v>
      </c>
      <c r="C213" s="49" t="s">
        <v>541</v>
      </c>
      <c r="D213" s="48" t="s">
        <v>542</v>
      </c>
      <c r="E213" s="51">
        <v>78800.0</v>
      </c>
      <c r="F213" s="58" t="s">
        <v>529</v>
      </c>
      <c r="G213" s="53" t="s">
        <v>58</v>
      </c>
    </row>
    <row r="214" ht="24.75" customHeight="1">
      <c r="A214" s="54" t="s">
        <v>543</v>
      </c>
      <c r="B214" s="42" t="s">
        <v>47</v>
      </c>
      <c r="C214" s="44" t="s">
        <v>541</v>
      </c>
      <c r="D214" s="42" t="s">
        <v>544</v>
      </c>
      <c r="E214" s="56">
        <v>24700.0</v>
      </c>
      <c r="F214" s="59" t="s">
        <v>529</v>
      </c>
      <c r="G214" s="46" t="s">
        <v>58</v>
      </c>
    </row>
    <row r="215" ht="24.75" customHeight="1">
      <c r="A215" s="47" t="s">
        <v>545</v>
      </c>
      <c r="B215" s="48" t="s">
        <v>47</v>
      </c>
      <c r="C215" s="49" t="s">
        <v>541</v>
      </c>
      <c r="D215" s="48" t="s">
        <v>546</v>
      </c>
      <c r="E215" s="51">
        <v>24700.0</v>
      </c>
      <c r="F215" s="58" t="s">
        <v>529</v>
      </c>
      <c r="G215" s="53" t="s">
        <v>58</v>
      </c>
    </row>
    <row r="216" ht="24.75" customHeight="1">
      <c r="A216" s="54" t="s">
        <v>547</v>
      </c>
      <c r="B216" s="42" t="s">
        <v>47</v>
      </c>
      <c r="C216" s="44" t="s">
        <v>541</v>
      </c>
      <c r="D216" s="42" t="s">
        <v>548</v>
      </c>
      <c r="E216" s="56">
        <v>17000.0</v>
      </c>
      <c r="F216" s="59" t="s">
        <v>529</v>
      </c>
      <c r="G216" s="46" t="s">
        <v>58</v>
      </c>
    </row>
    <row r="217" ht="24.75" customHeight="1">
      <c r="A217" s="47" t="s">
        <v>549</v>
      </c>
      <c r="B217" s="48" t="s">
        <v>47</v>
      </c>
      <c r="C217" s="49" t="s">
        <v>541</v>
      </c>
      <c r="D217" s="48" t="s">
        <v>550</v>
      </c>
      <c r="E217" s="51">
        <v>27800.0</v>
      </c>
      <c r="F217" s="58" t="s">
        <v>529</v>
      </c>
      <c r="G217" s="53" t="s">
        <v>58</v>
      </c>
    </row>
    <row r="218" ht="24.75" customHeight="1">
      <c r="A218" s="41" t="s">
        <v>551</v>
      </c>
      <c r="B218" s="42" t="s">
        <v>47</v>
      </c>
      <c r="C218" s="43"/>
      <c r="D218" s="67" t="s">
        <v>552</v>
      </c>
      <c r="E218" s="45" t="s">
        <v>48</v>
      </c>
      <c r="F218" s="44" t="s">
        <v>44</v>
      </c>
      <c r="G218" s="46" t="s">
        <v>58</v>
      </c>
    </row>
    <row r="219" ht="24.75" customHeight="1">
      <c r="A219" s="47" t="s">
        <v>553</v>
      </c>
      <c r="B219" s="48" t="s">
        <v>47</v>
      </c>
      <c r="C219" s="49" t="s">
        <v>554</v>
      </c>
      <c r="D219" s="48" t="s">
        <v>555</v>
      </c>
      <c r="E219" s="51">
        <v>20700.0</v>
      </c>
      <c r="F219" s="58" t="s">
        <v>529</v>
      </c>
      <c r="G219" s="53" t="s">
        <v>58</v>
      </c>
    </row>
    <row r="220" ht="24.75" customHeight="1">
      <c r="A220" s="54" t="s">
        <v>556</v>
      </c>
      <c r="B220" s="42" t="s">
        <v>47</v>
      </c>
      <c r="C220" s="44" t="s">
        <v>554</v>
      </c>
      <c r="D220" s="42" t="s">
        <v>557</v>
      </c>
      <c r="E220" s="56">
        <v>230700.0</v>
      </c>
      <c r="F220" s="59" t="s">
        <v>529</v>
      </c>
      <c r="G220" s="46" t="s">
        <v>58</v>
      </c>
    </row>
    <row r="221" ht="24.75" customHeight="1">
      <c r="A221" s="47" t="s">
        <v>558</v>
      </c>
      <c r="B221" s="48" t="s">
        <v>47</v>
      </c>
      <c r="C221" s="49" t="s">
        <v>554</v>
      </c>
      <c r="D221" s="48" t="s">
        <v>559</v>
      </c>
      <c r="E221" s="51">
        <v>368900.0</v>
      </c>
      <c r="F221" s="58" t="s">
        <v>529</v>
      </c>
      <c r="G221" s="53" t="s">
        <v>58</v>
      </c>
    </row>
    <row r="222" ht="24.75" customHeight="1">
      <c r="A222" s="54" t="s">
        <v>560</v>
      </c>
      <c r="B222" s="42" t="s">
        <v>47</v>
      </c>
      <c r="C222" s="44" t="s">
        <v>554</v>
      </c>
      <c r="D222" s="42" t="s">
        <v>561</v>
      </c>
      <c r="E222" s="56">
        <v>415100.0</v>
      </c>
      <c r="F222" s="59" t="s">
        <v>529</v>
      </c>
      <c r="G222" s="46" t="s">
        <v>58</v>
      </c>
    </row>
    <row r="223" ht="24.75" customHeight="1">
      <c r="A223" s="64" t="s">
        <v>562</v>
      </c>
      <c r="B223" s="48" t="s">
        <v>47</v>
      </c>
      <c r="C223" s="65"/>
      <c r="D223" s="67" t="s">
        <v>563</v>
      </c>
      <c r="E223" s="66" t="s">
        <v>48</v>
      </c>
      <c r="F223" s="49" t="s">
        <v>44</v>
      </c>
      <c r="G223" s="53" t="s">
        <v>58</v>
      </c>
    </row>
    <row r="224" ht="24.75" customHeight="1">
      <c r="A224" s="54" t="s">
        <v>564</v>
      </c>
      <c r="B224" s="42" t="s">
        <v>47</v>
      </c>
      <c r="C224" s="44" t="s">
        <v>565</v>
      </c>
      <c r="D224" s="42" t="s">
        <v>566</v>
      </c>
      <c r="E224" s="56">
        <v>1200.0</v>
      </c>
      <c r="F224" s="59" t="s">
        <v>529</v>
      </c>
      <c r="G224" s="46" t="s">
        <v>58</v>
      </c>
    </row>
    <row r="225" ht="24.75" customHeight="1">
      <c r="A225" s="47" t="s">
        <v>567</v>
      </c>
      <c r="B225" s="48" t="s">
        <v>47</v>
      </c>
      <c r="C225" s="49" t="s">
        <v>565</v>
      </c>
      <c r="D225" s="48" t="s">
        <v>568</v>
      </c>
      <c r="E225" s="51">
        <v>5700.0</v>
      </c>
      <c r="F225" s="58" t="s">
        <v>529</v>
      </c>
      <c r="G225" s="53" t="s">
        <v>58</v>
      </c>
    </row>
    <row r="226" ht="24.75" customHeight="1">
      <c r="A226" s="54" t="s">
        <v>569</v>
      </c>
      <c r="B226" s="42" t="s">
        <v>47</v>
      </c>
      <c r="C226" s="44" t="s">
        <v>565</v>
      </c>
      <c r="D226" s="42" t="s">
        <v>570</v>
      </c>
      <c r="E226" s="56">
        <v>8900.0</v>
      </c>
      <c r="F226" s="59" t="s">
        <v>529</v>
      </c>
      <c r="G226" s="46" t="s">
        <v>58</v>
      </c>
    </row>
    <row r="227" ht="24.75" customHeight="1">
      <c r="A227" s="47" t="s">
        <v>571</v>
      </c>
      <c r="B227" s="48" t="s">
        <v>47</v>
      </c>
      <c r="C227" s="49" t="s">
        <v>565</v>
      </c>
      <c r="D227" s="48" t="s">
        <v>572</v>
      </c>
      <c r="E227" s="51">
        <v>5600.0</v>
      </c>
      <c r="F227" s="58" t="s">
        <v>529</v>
      </c>
      <c r="G227" s="53" t="s">
        <v>58</v>
      </c>
    </row>
    <row r="228" ht="24.75" customHeight="1">
      <c r="A228" s="54" t="s">
        <v>573</v>
      </c>
      <c r="B228" s="42" t="s">
        <v>47</v>
      </c>
      <c r="C228" s="44" t="s">
        <v>565</v>
      </c>
      <c r="D228" s="42" t="s">
        <v>574</v>
      </c>
      <c r="E228" s="56">
        <v>5900.0</v>
      </c>
      <c r="F228" s="59" t="s">
        <v>529</v>
      </c>
      <c r="G228" s="46" t="s">
        <v>58</v>
      </c>
    </row>
    <row r="229" ht="24.75" customHeight="1">
      <c r="A229" s="47" t="s">
        <v>575</v>
      </c>
      <c r="B229" s="48" t="s">
        <v>47</v>
      </c>
      <c r="C229" s="49" t="s">
        <v>565</v>
      </c>
      <c r="D229" s="48" t="s">
        <v>576</v>
      </c>
      <c r="E229" s="51">
        <v>6800.0</v>
      </c>
      <c r="F229" s="58" t="s">
        <v>529</v>
      </c>
      <c r="G229" s="53" t="s">
        <v>58</v>
      </c>
    </row>
    <row r="230" ht="24.75" customHeight="1">
      <c r="A230" s="54" t="s">
        <v>577</v>
      </c>
      <c r="B230" s="42" t="s">
        <v>47</v>
      </c>
      <c r="C230" s="44" t="s">
        <v>565</v>
      </c>
      <c r="D230" s="42" t="s">
        <v>578</v>
      </c>
      <c r="E230" s="56">
        <v>31300.0</v>
      </c>
      <c r="F230" s="59" t="s">
        <v>529</v>
      </c>
      <c r="G230" s="46" t="s">
        <v>58</v>
      </c>
    </row>
    <row r="231" ht="24.75" customHeight="1">
      <c r="A231" s="47" t="s">
        <v>579</v>
      </c>
      <c r="B231" s="48" t="s">
        <v>47</v>
      </c>
      <c r="C231" s="49" t="s">
        <v>565</v>
      </c>
      <c r="D231" s="48" t="s">
        <v>580</v>
      </c>
      <c r="E231" s="51">
        <v>32500.0</v>
      </c>
      <c r="F231" s="58" t="s">
        <v>529</v>
      </c>
      <c r="G231" s="53" t="s">
        <v>58</v>
      </c>
    </row>
    <row r="232" ht="24.75" customHeight="1">
      <c r="A232" s="41" t="s">
        <v>581</v>
      </c>
      <c r="B232" s="42" t="s">
        <v>47</v>
      </c>
      <c r="C232" s="43"/>
      <c r="D232" s="67" t="s">
        <v>582</v>
      </c>
      <c r="E232" s="45" t="s">
        <v>48</v>
      </c>
      <c r="F232" s="44" t="s">
        <v>44</v>
      </c>
      <c r="G232" s="46" t="s">
        <v>58</v>
      </c>
    </row>
    <row r="233" ht="27.0" customHeight="1">
      <c r="A233" s="47" t="s">
        <v>583</v>
      </c>
      <c r="B233" s="48" t="s">
        <v>47</v>
      </c>
      <c r="C233" s="49" t="s">
        <v>584</v>
      </c>
      <c r="D233" s="48" t="s">
        <v>585</v>
      </c>
      <c r="E233" s="51">
        <v>71700.0</v>
      </c>
      <c r="F233" s="58" t="s">
        <v>586</v>
      </c>
      <c r="G233" s="53" t="s">
        <v>58</v>
      </c>
    </row>
    <row r="234" ht="27.0" customHeight="1">
      <c r="A234" s="54" t="s">
        <v>587</v>
      </c>
      <c r="B234" s="42" t="s">
        <v>47</v>
      </c>
      <c r="C234" s="44" t="s">
        <v>584</v>
      </c>
      <c r="D234" s="42" t="s">
        <v>588</v>
      </c>
      <c r="E234" s="56">
        <v>77600.0</v>
      </c>
      <c r="F234" s="59" t="s">
        <v>586</v>
      </c>
      <c r="G234" s="46" t="s">
        <v>58</v>
      </c>
    </row>
    <row r="235" ht="27.0" customHeight="1">
      <c r="A235" s="47" t="s">
        <v>589</v>
      </c>
      <c r="B235" s="48" t="s">
        <v>47</v>
      </c>
      <c r="C235" s="49" t="s">
        <v>584</v>
      </c>
      <c r="D235" s="48" t="s">
        <v>590</v>
      </c>
      <c r="E235" s="51">
        <v>71700.0</v>
      </c>
      <c r="F235" s="58" t="s">
        <v>586</v>
      </c>
      <c r="G235" s="53" t="s">
        <v>58</v>
      </c>
    </row>
    <row r="236" ht="27.0" customHeight="1">
      <c r="A236" s="54" t="s">
        <v>591</v>
      </c>
      <c r="B236" s="42" t="s">
        <v>47</v>
      </c>
      <c r="C236" s="44" t="s">
        <v>584</v>
      </c>
      <c r="D236" s="42" t="s">
        <v>592</v>
      </c>
      <c r="E236" s="56">
        <v>77600.0</v>
      </c>
      <c r="F236" s="59" t="s">
        <v>586</v>
      </c>
      <c r="G236" s="46" t="s">
        <v>58</v>
      </c>
    </row>
    <row r="237" ht="27.0" customHeight="1">
      <c r="A237" s="47" t="s">
        <v>593</v>
      </c>
      <c r="B237" s="48" t="s">
        <v>47</v>
      </c>
      <c r="C237" s="49" t="s">
        <v>584</v>
      </c>
      <c r="D237" s="48" t="s">
        <v>594</v>
      </c>
      <c r="E237" s="51">
        <v>66000.0</v>
      </c>
      <c r="F237" s="58" t="s">
        <v>586</v>
      </c>
      <c r="G237" s="53" t="s">
        <v>58</v>
      </c>
    </row>
    <row r="238" ht="27.0" customHeight="1">
      <c r="A238" s="54" t="s">
        <v>595</v>
      </c>
      <c r="B238" s="42" t="s">
        <v>47</v>
      </c>
      <c r="C238" s="44" t="s">
        <v>584</v>
      </c>
      <c r="D238" s="42" t="s">
        <v>596</v>
      </c>
      <c r="E238" s="56">
        <v>71000.0</v>
      </c>
      <c r="F238" s="59" t="s">
        <v>586</v>
      </c>
      <c r="G238" s="46" t="s">
        <v>58</v>
      </c>
    </row>
    <row r="239" ht="27.0" customHeight="1">
      <c r="A239" s="47" t="s">
        <v>597</v>
      </c>
      <c r="B239" s="48" t="s">
        <v>47</v>
      </c>
      <c r="C239" s="49" t="s">
        <v>584</v>
      </c>
      <c r="D239" s="48" t="s">
        <v>598</v>
      </c>
      <c r="E239" s="51">
        <v>66000.0</v>
      </c>
      <c r="F239" s="58" t="s">
        <v>586</v>
      </c>
      <c r="G239" s="53" t="s">
        <v>58</v>
      </c>
    </row>
    <row r="240" ht="27.0" customHeight="1">
      <c r="A240" s="54" t="s">
        <v>599</v>
      </c>
      <c r="B240" s="42" t="s">
        <v>47</v>
      </c>
      <c r="C240" s="44" t="s">
        <v>584</v>
      </c>
      <c r="D240" s="42" t="s">
        <v>600</v>
      </c>
      <c r="E240" s="56">
        <v>76200.0</v>
      </c>
      <c r="F240" s="59" t="s">
        <v>586</v>
      </c>
      <c r="G240" s="46" t="s">
        <v>58</v>
      </c>
    </row>
    <row r="241" ht="27.0" customHeight="1">
      <c r="A241" s="47" t="s">
        <v>601</v>
      </c>
      <c r="B241" s="48" t="s">
        <v>47</v>
      </c>
      <c r="C241" s="49" t="s">
        <v>584</v>
      </c>
      <c r="D241" s="48" t="s">
        <v>602</v>
      </c>
      <c r="E241" s="51">
        <v>55900.0</v>
      </c>
      <c r="F241" s="58" t="s">
        <v>586</v>
      </c>
      <c r="G241" s="53" t="s">
        <v>58</v>
      </c>
    </row>
    <row r="242" ht="27.0" customHeight="1">
      <c r="A242" s="54" t="s">
        <v>603</v>
      </c>
      <c r="B242" s="42" t="s">
        <v>47</v>
      </c>
      <c r="C242" s="44" t="s">
        <v>584</v>
      </c>
      <c r="D242" s="42" t="s">
        <v>604</v>
      </c>
      <c r="E242" s="56">
        <v>63200.0</v>
      </c>
      <c r="F242" s="59" t="s">
        <v>586</v>
      </c>
      <c r="G242" s="46" t="s">
        <v>58</v>
      </c>
    </row>
    <row r="243" ht="27.0" customHeight="1">
      <c r="A243" s="47" t="s">
        <v>605</v>
      </c>
      <c r="B243" s="48" t="s">
        <v>47</v>
      </c>
      <c r="C243" s="49" t="s">
        <v>584</v>
      </c>
      <c r="D243" s="48" t="s">
        <v>606</v>
      </c>
      <c r="E243" s="51">
        <v>57300.0</v>
      </c>
      <c r="F243" s="58" t="s">
        <v>586</v>
      </c>
      <c r="G243" s="53" t="s">
        <v>58</v>
      </c>
    </row>
    <row r="244" ht="27.0" customHeight="1">
      <c r="A244" s="54" t="s">
        <v>607</v>
      </c>
      <c r="B244" s="42" t="s">
        <v>47</v>
      </c>
      <c r="C244" s="44" t="s">
        <v>584</v>
      </c>
      <c r="D244" s="42" t="s">
        <v>608</v>
      </c>
      <c r="E244" s="56">
        <v>63200.0</v>
      </c>
      <c r="F244" s="59" t="s">
        <v>586</v>
      </c>
      <c r="G244" s="46" t="s">
        <v>58</v>
      </c>
    </row>
    <row r="245" ht="27.0" customHeight="1">
      <c r="A245" s="47" t="s">
        <v>609</v>
      </c>
      <c r="B245" s="48" t="s">
        <v>47</v>
      </c>
      <c r="C245" s="49" t="s">
        <v>584</v>
      </c>
      <c r="D245" s="48" t="s">
        <v>610</v>
      </c>
      <c r="E245" s="51">
        <v>48600.0</v>
      </c>
      <c r="F245" s="58" t="s">
        <v>586</v>
      </c>
      <c r="G245" s="53" t="s">
        <v>58</v>
      </c>
    </row>
    <row r="246" ht="27.0" customHeight="1">
      <c r="A246" s="54" t="s">
        <v>611</v>
      </c>
      <c r="B246" s="42" t="s">
        <v>47</v>
      </c>
      <c r="C246" s="44" t="s">
        <v>584</v>
      </c>
      <c r="D246" s="42" t="s">
        <v>612</v>
      </c>
      <c r="E246" s="56">
        <v>53600.0</v>
      </c>
      <c r="F246" s="59" t="s">
        <v>586</v>
      </c>
      <c r="G246" s="46" t="s">
        <v>58</v>
      </c>
    </row>
    <row r="247" ht="27.0" customHeight="1">
      <c r="A247" s="47" t="s">
        <v>613</v>
      </c>
      <c r="B247" s="48" t="s">
        <v>47</v>
      </c>
      <c r="C247" s="49" t="s">
        <v>584</v>
      </c>
      <c r="D247" s="48" t="s">
        <v>614</v>
      </c>
      <c r="E247" s="51">
        <v>48600.0</v>
      </c>
      <c r="F247" s="58" t="s">
        <v>586</v>
      </c>
      <c r="G247" s="53" t="s">
        <v>58</v>
      </c>
    </row>
    <row r="248" ht="27.0" customHeight="1">
      <c r="A248" s="54" t="s">
        <v>615</v>
      </c>
      <c r="B248" s="42" t="s">
        <v>47</v>
      </c>
      <c r="C248" s="44" t="s">
        <v>584</v>
      </c>
      <c r="D248" s="42" t="s">
        <v>616</v>
      </c>
      <c r="E248" s="56">
        <v>58800.0</v>
      </c>
      <c r="F248" s="59" t="s">
        <v>586</v>
      </c>
      <c r="G248" s="46" t="s">
        <v>58</v>
      </c>
    </row>
    <row r="249" ht="27.0" customHeight="1">
      <c r="A249" s="64" t="s">
        <v>617</v>
      </c>
      <c r="B249" s="48" t="s">
        <v>47</v>
      </c>
      <c r="C249" s="65"/>
      <c r="D249" s="67" t="s">
        <v>618</v>
      </c>
      <c r="E249" s="66" t="s">
        <v>48</v>
      </c>
      <c r="F249" s="49" t="s">
        <v>44</v>
      </c>
      <c r="G249" s="53" t="s">
        <v>58</v>
      </c>
    </row>
    <row r="250" ht="27.0" customHeight="1">
      <c r="A250" s="54" t="s">
        <v>619</v>
      </c>
      <c r="B250" s="42" t="s">
        <v>47</v>
      </c>
      <c r="C250" s="44" t="s">
        <v>620</v>
      </c>
      <c r="D250" s="42" t="s">
        <v>585</v>
      </c>
      <c r="E250" s="56">
        <v>66200.0</v>
      </c>
      <c r="F250" s="59" t="s">
        <v>621</v>
      </c>
      <c r="G250" s="46" t="s">
        <v>58</v>
      </c>
    </row>
    <row r="251" ht="27.0" customHeight="1">
      <c r="A251" s="47" t="s">
        <v>622</v>
      </c>
      <c r="B251" s="48" t="s">
        <v>47</v>
      </c>
      <c r="C251" s="49" t="s">
        <v>620</v>
      </c>
      <c r="D251" s="48" t="s">
        <v>623</v>
      </c>
      <c r="E251" s="51">
        <v>72100.0</v>
      </c>
      <c r="F251" s="58" t="s">
        <v>621</v>
      </c>
      <c r="G251" s="53" t="s">
        <v>58</v>
      </c>
    </row>
    <row r="252" ht="27.0" customHeight="1">
      <c r="A252" s="54" t="s">
        <v>624</v>
      </c>
      <c r="B252" s="42" t="s">
        <v>47</v>
      </c>
      <c r="C252" s="44" t="s">
        <v>620</v>
      </c>
      <c r="D252" s="42" t="s">
        <v>590</v>
      </c>
      <c r="E252" s="56">
        <v>66200.0</v>
      </c>
      <c r="F252" s="59" t="s">
        <v>621</v>
      </c>
      <c r="G252" s="46" t="s">
        <v>58</v>
      </c>
    </row>
    <row r="253" ht="27.0" customHeight="1">
      <c r="A253" s="47" t="s">
        <v>625</v>
      </c>
      <c r="B253" s="48" t="s">
        <v>47</v>
      </c>
      <c r="C253" s="49" t="s">
        <v>620</v>
      </c>
      <c r="D253" s="48" t="s">
        <v>592</v>
      </c>
      <c r="E253" s="51">
        <v>75000.0</v>
      </c>
      <c r="F253" s="58" t="s">
        <v>621</v>
      </c>
      <c r="G253" s="53" t="s">
        <v>58</v>
      </c>
    </row>
    <row r="254" ht="27.0" customHeight="1">
      <c r="A254" s="54" t="s">
        <v>626</v>
      </c>
      <c r="B254" s="42" t="s">
        <v>47</v>
      </c>
      <c r="C254" s="44" t="s">
        <v>620</v>
      </c>
      <c r="D254" s="42" t="s">
        <v>594</v>
      </c>
      <c r="E254" s="56">
        <v>59700.0</v>
      </c>
      <c r="F254" s="59" t="s">
        <v>621</v>
      </c>
      <c r="G254" s="46" t="s">
        <v>58</v>
      </c>
    </row>
    <row r="255" ht="27.0" customHeight="1">
      <c r="A255" s="47" t="s">
        <v>627</v>
      </c>
      <c r="B255" s="48" t="s">
        <v>47</v>
      </c>
      <c r="C255" s="49" t="s">
        <v>620</v>
      </c>
      <c r="D255" s="48" t="s">
        <v>628</v>
      </c>
      <c r="E255" s="51">
        <v>64800.0</v>
      </c>
      <c r="F255" s="58" t="s">
        <v>621</v>
      </c>
      <c r="G255" s="53" t="s">
        <v>58</v>
      </c>
    </row>
    <row r="256" ht="27.0" customHeight="1">
      <c r="A256" s="54" t="s">
        <v>629</v>
      </c>
      <c r="B256" s="42" t="s">
        <v>47</v>
      </c>
      <c r="C256" s="44" t="s">
        <v>620</v>
      </c>
      <c r="D256" s="42" t="s">
        <v>598</v>
      </c>
      <c r="E256" s="56">
        <v>59700.0</v>
      </c>
      <c r="F256" s="59" t="s">
        <v>621</v>
      </c>
      <c r="G256" s="46" t="s">
        <v>58</v>
      </c>
    </row>
    <row r="257" ht="27.0" customHeight="1">
      <c r="A257" s="47" t="s">
        <v>630</v>
      </c>
      <c r="B257" s="48" t="s">
        <v>47</v>
      </c>
      <c r="C257" s="49" t="s">
        <v>620</v>
      </c>
      <c r="D257" s="48" t="s">
        <v>600</v>
      </c>
      <c r="E257" s="51">
        <v>67000.0</v>
      </c>
      <c r="F257" s="58" t="s">
        <v>621</v>
      </c>
      <c r="G257" s="53" t="s">
        <v>58</v>
      </c>
    </row>
    <row r="258" ht="27.0" customHeight="1">
      <c r="A258" s="54" t="s">
        <v>631</v>
      </c>
      <c r="B258" s="42" t="s">
        <v>47</v>
      </c>
      <c r="C258" s="44" t="s">
        <v>620</v>
      </c>
      <c r="D258" s="42" t="s">
        <v>632</v>
      </c>
      <c r="E258" s="56">
        <v>62800.0</v>
      </c>
      <c r="F258" s="59" t="s">
        <v>621</v>
      </c>
      <c r="G258" s="46" t="s">
        <v>58</v>
      </c>
    </row>
    <row r="259" ht="27.0" customHeight="1">
      <c r="A259" s="47" t="s">
        <v>633</v>
      </c>
      <c r="B259" s="48" t="s">
        <v>47</v>
      </c>
      <c r="C259" s="49" t="s">
        <v>620</v>
      </c>
      <c r="D259" s="48" t="s">
        <v>634</v>
      </c>
      <c r="E259" s="51">
        <v>68600.0</v>
      </c>
      <c r="F259" s="58" t="s">
        <v>621</v>
      </c>
      <c r="G259" s="53" t="s">
        <v>58</v>
      </c>
    </row>
    <row r="260" ht="27.0" customHeight="1">
      <c r="A260" s="54" t="s">
        <v>635</v>
      </c>
      <c r="B260" s="42" t="s">
        <v>47</v>
      </c>
      <c r="C260" s="44" t="s">
        <v>620</v>
      </c>
      <c r="D260" s="42" t="s">
        <v>636</v>
      </c>
      <c r="E260" s="56">
        <v>62800.0</v>
      </c>
      <c r="F260" s="59" t="s">
        <v>621</v>
      </c>
      <c r="G260" s="46" t="s">
        <v>58</v>
      </c>
    </row>
    <row r="261" ht="27.0" customHeight="1">
      <c r="A261" s="47" t="s">
        <v>637</v>
      </c>
      <c r="B261" s="48" t="s">
        <v>47</v>
      </c>
      <c r="C261" s="49" t="s">
        <v>620</v>
      </c>
      <c r="D261" s="48" t="s">
        <v>638</v>
      </c>
      <c r="E261" s="51">
        <v>68600.0</v>
      </c>
      <c r="F261" s="58" t="s">
        <v>621</v>
      </c>
      <c r="G261" s="53" t="s">
        <v>58</v>
      </c>
    </row>
    <row r="262" ht="27.0" customHeight="1">
      <c r="A262" s="54" t="s">
        <v>639</v>
      </c>
      <c r="B262" s="42" t="s">
        <v>47</v>
      </c>
      <c r="C262" s="44" t="s">
        <v>620</v>
      </c>
      <c r="D262" s="42" t="s">
        <v>640</v>
      </c>
      <c r="E262" s="56">
        <v>61400.0</v>
      </c>
      <c r="F262" s="59" t="s">
        <v>621</v>
      </c>
      <c r="G262" s="46" t="s">
        <v>58</v>
      </c>
    </row>
    <row r="263" ht="27.0" customHeight="1">
      <c r="A263" s="47" t="s">
        <v>641</v>
      </c>
      <c r="B263" s="48" t="s">
        <v>47</v>
      </c>
      <c r="C263" s="49" t="s">
        <v>620</v>
      </c>
      <c r="D263" s="48" t="s">
        <v>642</v>
      </c>
      <c r="E263" s="51">
        <v>63600.0</v>
      </c>
      <c r="F263" s="58" t="s">
        <v>621</v>
      </c>
      <c r="G263" s="53" t="s">
        <v>58</v>
      </c>
    </row>
    <row r="264" ht="27.0" customHeight="1">
      <c r="A264" s="54" t="s">
        <v>643</v>
      </c>
      <c r="B264" s="42" t="s">
        <v>47</v>
      </c>
      <c r="C264" s="44" t="s">
        <v>620</v>
      </c>
      <c r="D264" s="42" t="s">
        <v>644</v>
      </c>
      <c r="E264" s="56">
        <v>58600.0</v>
      </c>
      <c r="F264" s="59" t="s">
        <v>621</v>
      </c>
      <c r="G264" s="46" t="s">
        <v>58</v>
      </c>
    </row>
    <row r="265" ht="27.0" customHeight="1">
      <c r="A265" s="47" t="s">
        <v>645</v>
      </c>
      <c r="B265" s="48" t="s">
        <v>47</v>
      </c>
      <c r="C265" s="49" t="s">
        <v>620</v>
      </c>
      <c r="D265" s="48" t="s">
        <v>646</v>
      </c>
      <c r="E265" s="51">
        <v>65900.0</v>
      </c>
      <c r="F265" s="58" t="s">
        <v>621</v>
      </c>
      <c r="G265" s="53" t="s">
        <v>58</v>
      </c>
    </row>
    <row r="266" ht="27.0" customHeight="1">
      <c r="A266" s="41" t="s">
        <v>647</v>
      </c>
      <c r="B266" s="42" t="s">
        <v>47</v>
      </c>
      <c r="C266" s="43"/>
      <c r="D266" s="67" t="s">
        <v>648</v>
      </c>
      <c r="E266" s="45" t="s">
        <v>48</v>
      </c>
      <c r="F266" s="44" t="s">
        <v>44</v>
      </c>
      <c r="G266" s="46" t="s">
        <v>58</v>
      </c>
    </row>
    <row r="267" ht="27.0" customHeight="1">
      <c r="A267" s="47" t="s">
        <v>649</v>
      </c>
      <c r="B267" s="48" t="s">
        <v>47</v>
      </c>
      <c r="C267" s="49" t="s">
        <v>650</v>
      </c>
      <c r="D267" s="48" t="s">
        <v>651</v>
      </c>
      <c r="E267" s="51">
        <v>58900.0</v>
      </c>
      <c r="F267" s="58" t="s">
        <v>652</v>
      </c>
      <c r="G267" s="53" t="s">
        <v>58</v>
      </c>
    </row>
    <row r="268" ht="27.0" customHeight="1">
      <c r="A268" s="54" t="s">
        <v>653</v>
      </c>
      <c r="B268" s="42" t="s">
        <v>47</v>
      </c>
      <c r="C268" s="44" t="s">
        <v>650</v>
      </c>
      <c r="D268" s="42" t="s">
        <v>654</v>
      </c>
      <c r="E268" s="56">
        <v>57500.0</v>
      </c>
      <c r="F268" s="59" t="s">
        <v>652</v>
      </c>
      <c r="G268" s="46" t="s">
        <v>58</v>
      </c>
    </row>
    <row r="269" ht="27.0" customHeight="1">
      <c r="A269" s="47" t="s">
        <v>655</v>
      </c>
      <c r="B269" s="48" t="s">
        <v>47</v>
      </c>
      <c r="C269" s="49" t="s">
        <v>650</v>
      </c>
      <c r="D269" s="48" t="s">
        <v>657</v>
      </c>
      <c r="E269" s="51">
        <v>62500.0</v>
      </c>
      <c r="F269" s="58" t="s">
        <v>652</v>
      </c>
      <c r="G269" s="53" t="s">
        <v>58</v>
      </c>
    </row>
    <row r="270" ht="27.0" customHeight="1">
      <c r="A270" s="54" t="s">
        <v>658</v>
      </c>
      <c r="B270" s="42" t="s">
        <v>47</v>
      </c>
      <c r="C270" s="44" t="s">
        <v>650</v>
      </c>
      <c r="D270" s="42" t="s">
        <v>659</v>
      </c>
      <c r="E270" s="56">
        <v>61800.0</v>
      </c>
      <c r="F270" s="59" t="s">
        <v>652</v>
      </c>
      <c r="G270" s="46" t="s">
        <v>58</v>
      </c>
    </row>
    <row r="271" ht="27.0" customHeight="1">
      <c r="A271" s="47" t="s">
        <v>660</v>
      </c>
      <c r="B271" s="48" t="s">
        <v>47</v>
      </c>
      <c r="C271" s="49" t="s">
        <v>650</v>
      </c>
      <c r="D271" s="48" t="s">
        <v>661</v>
      </c>
      <c r="E271" s="51">
        <v>5700.0</v>
      </c>
      <c r="F271" s="58" t="s">
        <v>652</v>
      </c>
      <c r="G271" s="53" t="s">
        <v>58</v>
      </c>
    </row>
    <row r="272" ht="27.0" customHeight="1">
      <c r="A272" s="41" t="s">
        <v>662</v>
      </c>
      <c r="B272" s="42" t="s">
        <v>47</v>
      </c>
      <c r="C272" s="43"/>
      <c r="D272" s="67" t="s">
        <v>663</v>
      </c>
      <c r="E272" s="45" t="s">
        <v>48</v>
      </c>
      <c r="F272" s="44" t="s">
        <v>44</v>
      </c>
      <c r="G272" s="46" t="s">
        <v>58</v>
      </c>
    </row>
    <row r="273" ht="27.0" customHeight="1">
      <c r="A273" s="47" t="s">
        <v>664</v>
      </c>
      <c r="B273" s="48" t="s">
        <v>47</v>
      </c>
      <c r="C273" s="49" t="s">
        <v>665</v>
      </c>
      <c r="D273" s="48" t="s">
        <v>666</v>
      </c>
      <c r="E273" s="51">
        <v>458000.0</v>
      </c>
      <c r="F273" s="58" t="s">
        <v>667</v>
      </c>
      <c r="G273" s="53" t="s">
        <v>58</v>
      </c>
    </row>
    <row r="274" ht="27.0" customHeight="1">
      <c r="A274" s="61" t="s">
        <v>668</v>
      </c>
      <c r="B274" s="42" t="s">
        <v>47</v>
      </c>
      <c r="C274" s="44" t="s">
        <v>665</v>
      </c>
      <c r="D274" s="42" t="s">
        <v>669</v>
      </c>
      <c r="E274" s="56">
        <v>511600.0</v>
      </c>
      <c r="F274" s="59" t="s">
        <v>667</v>
      </c>
      <c r="G274" s="46" t="s">
        <v>58</v>
      </c>
    </row>
    <row r="275" ht="27.0" customHeight="1">
      <c r="A275" s="47" t="s">
        <v>670</v>
      </c>
      <c r="B275" s="48" t="s">
        <v>47</v>
      </c>
      <c r="C275" s="49" t="s">
        <v>665</v>
      </c>
      <c r="D275" s="48" t="s">
        <v>671</v>
      </c>
      <c r="E275" s="51">
        <v>472900.0</v>
      </c>
      <c r="F275" s="58" t="s">
        <v>667</v>
      </c>
      <c r="G275" s="53" t="s">
        <v>58</v>
      </c>
    </row>
    <row r="276" ht="27.0" customHeight="1">
      <c r="A276" s="54" t="s">
        <v>672</v>
      </c>
      <c r="B276" s="42" t="s">
        <v>47</v>
      </c>
      <c r="C276" s="44" t="s">
        <v>665</v>
      </c>
      <c r="D276" s="42" t="s">
        <v>673</v>
      </c>
      <c r="E276" s="56">
        <v>526500.0</v>
      </c>
      <c r="F276" s="59" t="s">
        <v>667</v>
      </c>
      <c r="G276" s="46" t="s">
        <v>58</v>
      </c>
    </row>
    <row r="277" ht="27.0" customHeight="1">
      <c r="A277" s="64" t="s">
        <v>674</v>
      </c>
      <c r="B277" s="48" t="s">
        <v>47</v>
      </c>
      <c r="C277" s="65"/>
      <c r="D277" s="67" t="s">
        <v>675</v>
      </c>
      <c r="E277" s="66" t="s">
        <v>48</v>
      </c>
      <c r="F277" s="49" t="s">
        <v>44</v>
      </c>
      <c r="G277" s="53" t="s">
        <v>58</v>
      </c>
    </row>
    <row r="278" ht="27.0" customHeight="1">
      <c r="A278" s="54" t="s">
        <v>676</v>
      </c>
      <c r="B278" s="42" t="s">
        <v>47</v>
      </c>
      <c r="C278" s="44" t="s">
        <v>677</v>
      </c>
      <c r="D278" s="42" t="s">
        <v>678</v>
      </c>
      <c r="E278" s="56">
        <v>7100.0</v>
      </c>
      <c r="F278" s="59" t="s">
        <v>679</v>
      </c>
      <c r="G278" s="46" t="s">
        <v>58</v>
      </c>
    </row>
    <row r="279" ht="27.0" customHeight="1">
      <c r="A279" s="62" t="s">
        <v>680</v>
      </c>
      <c r="B279" s="48" t="s">
        <v>47</v>
      </c>
      <c r="C279" s="49" t="s">
        <v>677</v>
      </c>
      <c r="D279" s="50" t="s">
        <v>681</v>
      </c>
      <c r="E279" s="51">
        <v>5700.0</v>
      </c>
      <c r="F279" s="58" t="s">
        <v>679</v>
      </c>
      <c r="G279" s="53" t="s">
        <v>58</v>
      </c>
    </row>
    <row r="280" ht="27.0" customHeight="1">
      <c r="A280" s="54" t="s">
        <v>682</v>
      </c>
      <c r="B280" s="42" t="s">
        <v>47</v>
      </c>
      <c r="C280" s="44" t="s">
        <v>677</v>
      </c>
      <c r="D280" s="55" t="s">
        <v>683</v>
      </c>
      <c r="E280" s="56">
        <v>5000.0</v>
      </c>
      <c r="F280" s="59" t="s">
        <v>679</v>
      </c>
      <c r="G280" s="46" t="s">
        <v>58</v>
      </c>
    </row>
    <row r="281" ht="27.0" customHeight="1">
      <c r="A281" s="47" t="s">
        <v>684</v>
      </c>
      <c r="B281" s="48" t="s">
        <v>47</v>
      </c>
      <c r="C281" s="49" t="s">
        <v>677</v>
      </c>
      <c r="D281" s="50" t="s">
        <v>685</v>
      </c>
      <c r="E281" s="51">
        <v>4600.0</v>
      </c>
      <c r="F281" s="58" t="s">
        <v>679</v>
      </c>
      <c r="G281" s="53" t="s">
        <v>58</v>
      </c>
    </row>
    <row r="282" ht="27.0" hidden="1" customHeight="1">
      <c r="A282" s="54" t="s">
        <v>686</v>
      </c>
      <c r="B282" s="42"/>
      <c r="C282" s="44"/>
      <c r="D282" s="42" t="s">
        <v>687</v>
      </c>
      <c r="E282" s="56" t="s">
        <v>48</v>
      </c>
      <c r="F282" s="59" t="s">
        <v>44</v>
      </c>
      <c r="G282" s="46" t="s">
        <v>58</v>
      </c>
    </row>
    <row r="283" ht="27.0" hidden="1" customHeight="1">
      <c r="A283" s="62" t="s">
        <v>689</v>
      </c>
      <c r="B283" s="48"/>
      <c r="C283" s="48" t="s">
        <v>687</v>
      </c>
      <c r="D283" s="111" t="s">
        <v>690</v>
      </c>
      <c r="E283" s="51">
        <v>-28000.0</v>
      </c>
      <c r="F283" s="58" t="s">
        <v>691</v>
      </c>
      <c r="G283" s="53" t="s">
        <v>58</v>
      </c>
    </row>
    <row r="284" ht="27.0" hidden="1" customHeight="1">
      <c r="A284" s="61" t="s">
        <v>692</v>
      </c>
      <c r="B284" s="42"/>
      <c r="C284" s="42" t="s">
        <v>687</v>
      </c>
      <c r="D284" s="113" t="s">
        <v>693</v>
      </c>
      <c r="E284" s="56">
        <v>0.0</v>
      </c>
      <c r="F284" s="59" t="s">
        <v>695</v>
      </c>
      <c r="G284" s="46" t="s">
        <v>58</v>
      </c>
    </row>
    <row r="285" ht="27.0" hidden="1" customHeight="1">
      <c r="A285" s="62" t="s">
        <v>696</v>
      </c>
      <c r="B285" s="48"/>
      <c r="C285" s="48" t="s">
        <v>687</v>
      </c>
      <c r="D285" s="111" t="s">
        <v>697</v>
      </c>
      <c r="E285" s="51">
        <v>0.0</v>
      </c>
      <c r="F285" s="58" t="s">
        <v>698</v>
      </c>
      <c r="G285" s="53" t="s">
        <v>58</v>
      </c>
    </row>
    <row r="286" ht="27.0" hidden="1" customHeight="1">
      <c r="A286" s="61" t="s">
        <v>699</v>
      </c>
      <c r="B286" s="96" t="s">
        <v>700</v>
      </c>
      <c r="C286" s="42"/>
      <c r="D286" s="96" t="s">
        <v>701</v>
      </c>
      <c r="E286" s="56" t="s">
        <v>48</v>
      </c>
      <c r="F286" s="59" t="s">
        <v>44</v>
      </c>
      <c r="G286" s="46" t="s">
        <v>58</v>
      </c>
    </row>
    <row r="287" ht="27.0" hidden="1" customHeight="1">
      <c r="A287" s="116" t="s">
        <v>702</v>
      </c>
      <c r="B287" s="93" t="s">
        <v>700</v>
      </c>
      <c r="C287" s="93" t="s">
        <v>703</v>
      </c>
      <c r="D287" s="117" t="s">
        <v>704</v>
      </c>
      <c r="E287" s="51">
        <v>11000.0</v>
      </c>
      <c r="F287" s="58"/>
      <c r="G287" s="53" t="s">
        <v>58</v>
      </c>
    </row>
    <row r="288" ht="27.0" hidden="1" customHeight="1">
      <c r="A288" s="119" t="s">
        <v>705</v>
      </c>
      <c r="B288" s="96" t="s">
        <v>700</v>
      </c>
      <c r="C288" s="96" t="s">
        <v>703</v>
      </c>
      <c r="D288" s="117" t="s">
        <v>706</v>
      </c>
      <c r="E288" s="56">
        <v>19000.0</v>
      </c>
      <c r="F288" s="59"/>
      <c r="G288" s="46" t="s">
        <v>58</v>
      </c>
    </row>
    <row r="289" ht="27.0" hidden="1" customHeight="1">
      <c r="A289" s="116" t="s">
        <v>707</v>
      </c>
      <c r="B289" s="93" t="s">
        <v>700</v>
      </c>
      <c r="C289" s="93" t="s">
        <v>703</v>
      </c>
      <c r="D289" s="117" t="s">
        <v>708</v>
      </c>
      <c r="E289" s="51">
        <v>38000.0</v>
      </c>
      <c r="F289" s="58"/>
      <c r="G289" s="53" t="s">
        <v>58</v>
      </c>
    </row>
    <row r="290" ht="27.0" hidden="1" customHeight="1">
      <c r="A290" s="119" t="s">
        <v>709</v>
      </c>
      <c r="B290" s="96" t="s">
        <v>700</v>
      </c>
      <c r="C290" s="96" t="s">
        <v>703</v>
      </c>
      <c r="D290" s="117" t="s">
        <v>710</v>
      </c>
      <c r="E290" s="113">
        <v>18000.0</v>
      </c>
      <c r="F290" s="120"/>
      <c r="G290" s="46" t="s">
        <v>58</v>
      </c>
    </row>
    <row r="291" ht="27.0" hidden="1" customHeight="1">
      <c r="A291" s="62" t="s">
        <v>712</v>
      </c>
      <c r="B291" s="93" t="s">
        <v>700</v>
      </c>
      <c r="C291" s="93"/>
      <c r="D291" s="93" t="s">
        <v>713</v>
      </c>
      <c r="E291" s="51" t="s">
        <v>48</v>
      </c>
      <c r="F291" s="58" t="s">
        <v>44</v>
      </c>
      <c r="G291" s="53" t="s">
        <v>58</v>
      </c>
    </row>
    <row r="292" ht="27.0" hidden="1" customHeight="1">
      <c r="A292" s="61" t="s">
        <v>714</v>
      </c>
      <c r="B292" s="96" t="s">
        <v>700</v>
      </c>
      <c r="C292" s="96" t="s">
        <v>715</v>
      </c>
      <c r="D292" s="117" t="s">
        <v>716</v>
      </c>
      <c r="E292" s="113">
        <v>33000.0</v>
      </c>
      <c r="F292" s="120"/>
      <c r="G292" s="46" t="s">
        <v>58</v>
      </c>
    </row>
    <row r="293" ht="27.0" hidden="1" customHeight="1">
      <c r="A293" s="62" t="s">
        <v>717</v>
      </c>
      <c r="B293" s="93" t="s">
        <v>700</v>
      </c>
      <c r="C293" s="93" t="s">
        <v>718</v>
      </c>
      <c r="D293" s="117" t="s">
        <v>719</v>
      </c>
      <c r="E293" s="111">
        <v>145500.0</v>
      </c>
      <c r="F293" s="121" t="s">
        <v>720</v>
      </c>
      <c r="G293" s="53" t="s">
        <v>58</v>
      </c>
    </row>
    <row r="294" ht="27.0" hidden="1" customHeight="1">
      <c r="A294" s="61" t="s">
        <v>721</v>
      </c>
      <c r="B294" s="96" t="s">
        <v>700</v>
      </c>
      <c r="C294" s="96" t="s">
        <v>718</v>
      </c>
      <c r="D294" s="117" t="s">
        <v>722</v>
      </c>
      <c r="E294" s="113">
        <v>190000.0</v>
      </c>
      <c r="F294" s="120" t="s">
        <v>720</v>
      </c>
      <c r="G294" s="46" t="s">
        <v>58</v>
      </c>
    </row>
    <row r="295" ht="27.0" hidden="1" customHeight="1">
      <c r="A295" s="62" t="s">
        <v>723</v>
      </c>
      <c r="B295" s="93" t="s">
        <v>700</v>
      </c>
      <c r="C295" s="93" t="s">
        <v>718</v>
      </c>
      <c r="D295" s="117" t="s">
        <v>724</v>
      </c>
      <c r="E295" s="111">
        <v>24500.0</v>
      </c>
      <c r="F295" s="121" t="s">
        <v>726</v>
      </c>
      <c r="G295" s="53" t="s">
        <v>58</v>
      </c>
    </row>
    <row r="296" ht="27.0" hidden="1" customHeight="1">
      <c r="A296" s="61" t="s">
        <v>727</v>
      </c>
      <c r="B296" s="96" t="s">
        <v>700</v>
      </c>
      <c r="C296" s="96" t="s">
        <v>715</v>
      </c>
      <c r="D296" s="117" t="s">
        <v>728</v>
      </c>
      <c r="E296" s="113">
        <v>75000.0</v>
      </c>
      <c r="F296" s="120"/>
      <c r="G296" s="46" t="s">
        <v>58</v>
      </c>
    </row>
    <row r="297" ht="27.0" hidden="1" customHeight="1">
      <c r="A297" s="62" t="s">
        <v>729</v>
      </c>
      <c r="B297" s="93" t="s">
        <v>700</v>
      </c>
      <c r="C297" s="93" t="s">
        <v>715</v>
      </c>
      <c r="D297" s="117" t="s">
        <v>730</v>
      </c>
      <c r="E297" s="111">
        <v>221500.0</v>
      </c>
      <c r="F297" s="121"/>
      <c r="G297" s="53" t="s">
        <v>58</v>
      </c>
    </row>
    <row r="298" ht="27.0" hidden="1" customHeight="1">
      <c r="A298" s="61" t="s">
        <v>731</v>
      </c>
      <c r="B298" s="96" t="s">
        <v>700</v>
      </c>
      <c r="C298" s="96" t="s">
        <v>715</v>
      </c>
      <c r="D298" s="117" t="s">
        <v>732</v>
      </c>
      <c r="E298" s="113">
        <v>10000.0</v>
      </c>
      <c r="F298" s="120" t="s">
        <v>734</v>
      </c>
      <c r="G298" s="46" t="s">
        <v>58</v>
      </c>
    </row>
    <row r="299" ht="27.0" hidden="1" customHeight="1">
      <c r="A299" s="62" t="s">
        <v>736</v>
      </c>
      <c r="B299" s="93" t="s">
        <v>700</v>
      </c>
      <c r="C299" s="93" t="s">
        <v>718</v>
      </c>
      <c r="D299" s="117" t="s">
        <v>737</v>
      </c>
      <c r="E299" s="111">
        <v>15000.0</v>
      </c>
      <c r="F299" s="121" t="s">
        <v>738</v>
      </c>
      <c r="G299" s="53" t="s">
        <v>58</v>
      </c>
    </row>
    <row r="300" ht="27.0" hidden="1" customHeight="1">
      <c r="A300" s="61" t="s">
        <v>739</v>
      </c>
      <c r="B300" s="96" t="s">
        <v>700</v>
      </c>
      <c r="C300" s="96" t="s">
        <v>718</v>
      </c>
      <c r="D300" s="117" t="s">
        <v>740</v>
      </c>
      <c r="E300" s="113">
        <v>27000.0</v>
      </c>
      <c r="F300" s="120"/>
      <c r="G300" s="46" t="s">
        <v>58</v>
      </c>
    </row>
    <row r="301" ht="27.0" hidden="1" customHeight="1">
      <c r="A301" s="62" t="s">
        <v>741</v>
      </c>
      <c r="B301" s="93" t="s">
        <v>700</v>
      </c>
      <c r="C301" s="93" t="s">
        <v>718</v>
      </c>
      <c r="D301" s="117" t="s">
        <v>743</v>
      </c>
      <c r="E301" s="111">
        <v>42000.0</v>
      </c>
      <c r="F301" s="121"/>
      <c r="G301" s="53" t="s">
        <v>58</v>
      </c>
    </row>
    <row r="302" ht="27.0" hidden="1" customHeight="1">
      <c r="A302" s="61" t="s">
        <v>744</v>
      </c>
      <c r="B302" s="96" t="s">
        <v>700</v>
      </c>
      <c r="C302" s="96" t="s">
        <v>718</v>
      </c>
      <c r="D302" s="117" t="s">
        <v>745</v>
      </c>
      <c r="E302" s="113">
        <v>45500.0</v>
      </c>
      <c r="F302" s="120"/>
      <c r="G302" s="46" t="s">
        <v>58</v>
      </c>
    </row>
    <row r="303" ht="27.0" hidden="1" customHeight="1">
      <c r="A303" s="62" t="s">
        <v>746</v>
      </c>
      <c r="B303" s="93" t="s">
        <v>700</v>
      </c>
      <c r="C303" s="93" t="s">
        <v>747</v>
      </c>
      <c r="D303" s="117" t="s">
        <v>748</v>
      </c>
      <c r="E303" s="111">
        <v>66000.0</v>
      </c>
      <c r="F303" s="121" t="s">
        <v>749</v>
      </c>
      <c r="G303" s="53" t="s">
        <v>58</v>
      </c>
    </row>
    <row r="304" ht="27.0" hidden="1" customHeight="1">
      <c r="A304" s="61" t="s">
        <v>750</v>
      </c>
      <c r="B304" s="96" t="s">
        <v>700</v>
      </c>
      <c r="C304" s="96" t="s">
        <v>747</v>
      </c>
      <c r="D304" s="117" t="s">
        <v>751</v>
      </c>
      <c r="E304" s="113">
        <v>12000.0</v>
      </c>
      <c r="F304" s="120"/>
      <c r="G304" s="46" t="s">
        <v>58</v>
      </c>
    </row>
    <row r="305" ht="27.0" hidden="1" customHeight="1">
      <c r="A305" s="62" t="s">
        <v>752</v>
      </c>
      <c r="B305" s="93" t="s">
        <v>700</v>
      </c>
      <c r="C305" s="93" t="s">
        <v>747</v>
      </c>
      <c r="D305" s="117" t="s">
        <v>753</v>
      </c>
      <c r="E305" s="111">
        <v>17000.0</v>
      </c>
      <c r="F305" s="121"/>
      <c r="G305" s="53" t="s">
        <v>58</v>
      </c>
    </row>
    <row r="306" ht="27.0" hidden="1" customHeight="1">
      <c r="A306" s="61" t="s">
        <v>754</v>
      </c>
      <c r="B306" s="96" t="s">
        <v>700</v>
      </c>
      <c r="C306" s="96" t="s">
        <v>747</v>
      </c>
      <c r="D306" s="117" t="s">
        <v>755</v>
      </c>
      <c r="E306" s="113">
        <v>47000.0</v>
      </c>
      <c r="F306" s="120"/>
      <c r="G306" s="46" t="s">
        <v>58</v>
      </c>
    </row>
    <row r="307" ht="27.0" hidden="1" customHeight="1">
      <c r="A307" s="62" t="s">
        <v>756</v>
      </c>
      <c r="B307" s="93" t="s">
        <v>700</v>
      </c>
      <c r="C307" s="93" t="s">
        <v>747</v>
      </c>
      <c r="D307" s="117" t="s">
        <v>757</v>
      </c>
      <c r="E307" s="111">
        <v>67000.0</v>
      </c>
      <c r="F307" s="121"/>
      <c r="G307" s="53" t="s">
        <v>58</v>
      </c>
    </row>
    <row r="308" ht="27.0" hidden="1" customHeight="1">
      <c r="A308" s="61" t="s">
        <v>758</v>
      </c>
      <c r="B308" s="96" t="s">
        <v>700</v>
      </c>
      <c r="C308" s="96" t="s">
        <v>747</v>
      </c>
      <c r="D308" s="117" t="s">
        <v>759</v>
      </c>
      <c r="E308" s="113">
        <v>52500.0</v>
      </c>
      <c r="F308" s="120"/>
      <c r="G308" s="46" t="s">
        <v>58</v>
      </c>
    </row>
    <row r="309" ht="27.0" hidden="1" customHeight="1">
      <c r="A309" s="62" t="s">
        <v>760</v>
      </c>
      <c r="B309" s="93" t="s">
        <v>700</v>
      </c>
      <c r="C309" s="93" t="s">
        <v>718</v>
      </c>
      <c r="D309" s="117" t="s">
        <v>761</v>
      </c>
      <c r="E309" s="111">
        <v>45500.0</v>
      </c>
      <c r="F309" s="121" t="s">
        <v>762</v>
      </c>
      <c r="G309" s="53" t="s">
        <v>58</v>
      </c>
    </row>
    <row r="310" ht="27.0" hidden="1" customHeight="1">
      <c r="A310" s="61" t="s">
        <v>763</v>
      </c>
      <c r="B310" s="96" t="s">
        <v>700</v>
      </c>
      <c r="C310" s="96" t="s">
        <v>718</v>
      </c>
      <c r="D310" s="117" t="s">
        <v>764</v>
      </c>
      <c r="E310" s="113">
        <v>41500.0</v>
      </c>
      <c r="F310" s="120" t="s">
        <v>765</v>
      </c>
      <c r="G310" s="46" t="s">
        <v>58</v>
      </c>
    </row>
    <row r="311" ht="27.0" hidden="1" customHeight="1">
      <c r="A311" s="62" t="s">
        <v>766</v>
      </c>
      <c r="B311" s="93" t="s">
        <v>700</v>
      </c>
      <c r="C311" s="93" t="s">
        <v>718</v>
      </c>
      <c r="D311" s="117" t="s">
        <v>767</v>
      </c>
      <c r="E311" s="111">
        <v>53000.0</v>
      </c>
      <c r="F311" s="121"/>
      <c r="G311" s="53" t="s">
        <v>58</v>
      </c>
    </row>
    <row r="312" ht="27.0" hidden="1" customHeight="1">
      <c r="A312" s="61" t="s">
        <v>768</v>
      </c>
      <c r="B312" s="96" t="s">
        <v>700</v>
      </c>
      <c r="C312" s="96" t="s">
        <v>718</v>
      </c>
      <c r="D312" s="117" t="s">
        <v>769</v>
      </c>
      <c r="E312" s="113">
        <v>56500.0</v>
      </c>
      <c r="F312" s="120"/>
      <c r="G312" s="46" t="s">
        <v>58</v>
      </c>
    </row>
    <row r="313" ht="27.0" hidden="1" customHeight="1">
      <c r="A313" s="62" t="s">
        <v>770</v>
      </c>
      <c r="B313" s="93" t="s">
        <v>700</v>
      </c>
      <c r="C313" s="93" t="s">
        <v>718</v>
      </c>
      <c r="D313" s="117" t="s">
        <v>771</v>
      </c>
      <c r="E313" s="111">
        <v>45000.0</v>
      </c>
      <c r="F313" s="121"/>
      <c r="G313" s="53" t="s">
        <v>58</v>
      </c>
    </row>
    <row r="314" ht="27.0" hidden="1" customHeight="1">
      <c r="A314" s="61" t="s">
        <v>772</v>
      </c>
      <c r="B314" s="96" t="s">
        <v>700</v>
      </c>
      <c r="C314" s="96" t="s">
        <v>718</v>
      </c>
      <c r="D314" s="117" t="s">
        <v>773</v>
      </c>
      <c r="E314" s="113">
        <v>15500.0</v>
      </c>
      <c r="F314" s="120"/>
      <c r="G314" s="46" t="s">
        <v>58</v>
      </c>
    </row>
    <row r="315" ht="27.0" hidden="1" customHeight="1">
      <c r="A315" s="62" t="s">
        <v>774</v>
      </c>
      <c r="B315" s="93" t="s">
        <v>700</v>
      </c>
      <c r="C315" s="93" t="s">
        <v>747</v>
      </c>
      <c r="D315" s="117" t="s">
        <v>775</v>
      </c>
      <c r="E315" s="111">
        <v>53000.0</v>
      </c>
      <c r="F315" s="121"/>
      <c r="G315" s="53" t="s">
        <v>58</v>
      </c>
    </row>
    <row r="316" ht="27.0" hidden="1" customHeight="1">
      <c r="A316" s="61" t="s">
        <v>776</v>
      </c>
      <c r="B316" s="96" t="s">
        <v>700</v>
      </c>
      <c r="C316" s="96" t="s">
        <v>747</v>
      </c>
      <c r="D316" s="117" t="s">
        <v>777</v>
      </c>
      <c r="E316" s="113">
        <v>64000.0</v>
      </c>
      <c r="F316" s="120"/>
      <c r="G316" s="46" t="s">
        <v>58</v>
      </c>
    </row>
    <row r="317" ht="27.0" hidden="1" customHeight="1">
      <c r="A317" s="62" t="s">
        <v>778</v>
      </c>
      <c r="B317" s="93" t="s">
        <v>700</v>
      </c>
      <c r="C317" s="93" t="s">
        <v>747</v>
      </c>
      <c r="D317" s="117" t="s">
        <v>779</v>
      </c>
      <c r="E317" s="111">
        <v>20000.0</v>
      </c>
      <c r="F317" s="121" t="s">
        <v>780</v>
      </c>
      <c r="G317" s="53" t="s">
        <v>58</v>
      </c>
    </row>
    <row r="318" ht="27.0" hidden="1" customHeight="1">
      <c r="A318" s="61" t="s">
        <v>781</v>
      </c>
      <c r="B318" s="96" t="s">
        <v>700</v>
      </c>
      <c r="C318" s="96" t="s">
        <v>718</v>
      </c>
      <c r="D318" s="117" t="s">
        <v>782</v>
      </c>
      <c r="E318" s="113">
        <v>41500.0</v>
      </c>
      <c r="F318" s="120"/>
      <c r="G318" s="46" t="s">
        <v>58</v>
      </c>
    </row>
    <row r="319" ht="27.0" hidden="1" customHeight="1">
      <c r="A319" s="62" t="s">
        <v>783</v>
      </c>
      <c r="B319" s="93" t="s">
        <v>700</v>
      </c>
      <c r="C319" s="93" t="s">
        <v>718</v>
      </c>
      <c r="D319" s="117" t="s">
        <v>784</v>
      </c>
      <c r="E319" s="111">
        <v>39000.0</v>
      </c>
      <c r="F319" s="121"/>
      <c r="G319" s="53" t="s">
        <v>58</v>
      </c>
    </row>
    <row r="320" ht="27.0" hidden="1" customHeight="1">
      <c r="A320" s="61" t="s">
        <v>785</v>
      </c>
      <c r="B320" s="96" t="s">
        <v>700</v>
      </c>
      <c r="C320" s="96" t="s">
        <v>718</v>
      </c>
      <c r="D320" s="117" t="s">
        <v>786</v>
      </c>
      <c r="E320" s="113">
        <v>20000.0</v>
      </c>
      <c r="F320" s="120" t="s">
        <v>787</v>
      </c>
      <c r="G320" s="46" t="s">
        <v>58</v>
      </c>
    </row>
    <row r="321" ht="27.0" hidden="1" customHeight="1">
      <c r="A321" s="62" t="s">
        <v>788</v>
      </c>
      <c r="B321" s="93" t="s">
        <v>700</v>
      </c>
      <c r="C321" s="93" t="s">
        <v>747</v>
      </c>
      <c r="D321" s="117" t="s">
        <v>789</v>
      </c>
      <c r="E321" s="111">
        <v>12000.0</v>
      </c>
      <c r="F321" s="121"/>
      <c r="G321" s="53" t="s">
        <v>58</v>
      </c>
    </row>
    <row r="322" ht="27.0" hidden="1" customHeight="1">
      <c r="A322" s="61" t="s">
        <v>790</v>
      </c>
      <c r="B322" s="96" t="s">
        <v>700</v>
      </c>
      <c r="C322" s="96" t="s">
        <v>747</v>
      </c>
      <c r="D322" s="117" t="s">
        <v>791</v>
      </c>
      <c r="E322" s="113">
        <v>52500.0</v>
      </c>
      <c r="F322" s="120" t="s">
        <v>792</v>
      </c>
      <c r="G322" s="46" t="s">
        <v>58</v>
      </c>
    </row>
    <row r="323" ht="27.0" hidden="1" customHeight="1">
      <c r="A323" s="62" t="s">
        <v>793</v>
      </c>
      <c r="B323" s="93" t="s">
        <v>700</v>
      </c>
      <c r="C323" s="93" t="s">
        <v>718</v>
      </c>
      <c r="D323" s="117" t="s">
        <v>794</v>
      </c>
      <c r="E323" s="111">
        <v>31500.0</v>
      </c>
      <c r="F323" s="121" t="s">
        <v>795</v>
      </c>
      <c r="G323" s="53" t="s">
        <v>58</v>
      </c>
    </row>
    <row r="324" ht="24.75" hidden="1" customHeight="1">
      <c r="A324" s="119" t="s">
        <v>796</v>
      </c>
      <c r="B324" s="96" t="s">
        <v>797</v>
      </c>
      <c r="C324" s="44"/>
      <c r="D324" s="42"/>
      <c r="E324" s="56"/>
      <c r="F324" s="59"/>
      <c r="G324" s="120"/>
    </row>
    <row r="325" ht="24.75" hidden="1" customHeight="1">
      <c r="A325" s="116" t="s">
        <v>798</v>
      </c>
      <c r="B325" s="93" t="s">
        <v>797</v>
      </c>
      <c r="C325" s="49" t="s">
        <v>329</v>
      </c>
      <c r="D325" s="48" t="s">
        <v>799</v>
      </c>
      <c r="E325" s="51">
        <v>23400.0</v>
      </c>
      <c r="F325" s="58" t="s">
        <v>340</v>
      </c>
      <c r="G325" s="121"/>
    </row>
    <row r="326" ht="24.75" customHeight="1">
      <c r="A326" s="119" t="s">
        <v>800</v>
      </c>
      <c r="B326" s="96" t="s">
        <v>797</v>
      </c>
      <c r="C326" s="44" t="s">
        <v>329</v>
      </c>
      <c r="D326" s="42" t="s">
        <v>801</v>
      </c>
      <c r="E326" s="56">
        <v>27800.0</v>
      </c>
      <c r="F326" s="59" t="s">
        <v>340</v>
      </c>
      <c r="G326" s="120"/>
    </row>
    <row r="327" ht="24.75" customHeight="1">
      <c r="A327" s="116" t="s">
        <v>40</v>
      </c>
      <c r="B327" s="93"/>
      <c r="C327" s="48" t="s">
        <v>687</v>
      </c>
      <c r="D327" s="111" t="s">
        <v>802</v>
      </c>
      <c r="E327" s="111"/>
      <c r="F327" s="121"/>
      <c r="G327" s="121"/>
    </row>
    <row r="328" ht="24.75" customHeight="1">
      <c r="A328" s="119" t="s">
        <v>803</v>
      </c>
      <c r="B328" s="96" t="s">
        <v>804</v>
      </c>
      <c r="C328" s="42"/>
      <c r="D328" s="126" t="s">
        <v>805</v>
      </c>
      <c r="E328" s="113"/>
      <c r="F328" s="120"/>
      <c r="G328" s="120"/>
    </row>
    <row r="329" ht="24.75" customHeight="1">
      <c r="A329" s="116" t="s">
        <v>806</v>
      </c>
      <c r="B329" s="93" t="s">
        <v>804</v>
      </c>
      <c r="C329" s="48" t="s">
        <v>805</v>
      </c>
      <c r="D329" s="111" t="s">
        <v>807</v>
      </c>
      <c r="E329" s="111">
        <v>47998.0</v>
      </c>
      <c r="F329" s="121"/>
      <c r="G329" s="121"/>
    </row>
    <row r="330" ht="24.75" customHeight="1">
      <c r="A330" s="119" t="s">
        <v>808</v>
      </c>
      <c r="B330" s="96" t="s">
        <v>804</v>
      </c>
      <c r="C330" s="42" t="s">
        <v>805</v>
      </c>
      <c r="D330" s="113" t="s">
        <v>809</v>
      </c>
      <c r="E330" s="113">
        <v>115071.0</v>
      </c>
      <c r="F330" s="120"/>
      <c r="G330" s="120"/>
    </row>
    <row r="331" ht="24.75" customHeight="1">
      <c r="A331" s="116" t="s">
        <v>810</v>
      </c>
      <c r="B331" s="93" t="s">
        <v>804</v>
      </c>
      <c r="C331" s="48" t="s">
        <v>805</v>
      </c>
      <c r="D331" s="111" t="s">
        <v>811</v>
      </c>
      <c r="E331" s="111">
        <v>95829.0</v>
      </c>
      <c r="F331" s="121"/>
      <c r="G331" s="121"/>
    </row>
    <row r="332" ht="24.75" customHeight="1">
      <c r="A332" s="119" t="s">
        <v>812</v>
      </c>
      <c r="B332" s="96" t="s">
        <v>804</v>
      </c>
      <c r="C332" s="42" t="s">
        <v>805</v>
      </c>
      <c r="D332" s="113" t="s">
        <v>813</v>
      </c>
      <c r="E332" s="113">
        <v>95829.0</v>
      </c>
      <c r="F332" s="120"/>
      <c r="G332" s="120"/>
    </row>
    <row r="333" ht="24.75" customHeight="1">
      <c r="A333" s="116" t="s">
        <v>814</v>
      </c>
      <c r="B333" s="93" t="s">
        <v>804</v>
      </c>
      <c r="C333" s="48" t="s">
        <v>805</v>
      </c>
      <c r="D333" s="111" t="s">
        <v>815</v>
      </c>
      <c r="E333" s="111">
        <v>47998.0</v>
      </c>
      <c r="F333" s="121"/>
      <c r="G333" s="121"/>
    </row>
    <row r="334" ht="24.75" customHeight="1">
      <c r="A334" s="119" t="s">
        <v>816</v>
      </c>
      <c r="B334" s="96" t="s">
        <v>804</v>
      </c>
      <c r="C334" s="42" t="s">
        <v>805</v>
      </c>
      <c r="D334" s="113" t="s">
        <v>817</v>
      </c>
      <c r="E334" s="113">
        <v>47998.0</v>
      </c>
      <c r="F334" s="120"/>
      <c r="G334" s="120"/>
    </row>
    <row r="335" ht="24.75" customHeight="1">
      <c r="A335" s="116" t="s">
        <v>818</v>
      </c>
      <c r="B335" s="93" t="s">
        <v>804</v>
      </c>
      <c r="C335" s="48"/>
      <c r="D335" s="111" t="s">
        <v>819</v>
      </c>
      <c r="E335" s="111"/>
      <c r="F335" s="121"/>
      <c r="G335" s="121"/>
    </row>
    <row r="336" ht="24.75" customHeight="1">
      <c r="A336" s="119" t="s">
        <v>820</v>
      </c>
      <c r="B336" s="96" t="s">
        <v>804</v>
      </c>
      <c r="C336" s="42" t="s">
        <v>821</v>
      </c>
      <c r="D336" s="113" t="s">
        <v>822</v>
      </c>
      <c r="E336" s="113">
        <v>48514.0</v>
      </c>
      <c r="F336" s="120"/>
      <c r="G336" s="120"/>
    </row>
    <row r="337" ht="24.75" customHeight="1">
      <c r="A337" s="116" t="s">
        <v>823</v>
      </c>
      <c r="B337" s="93" t="s">
        <v>804</v>
      </c>
      <c r="C337" s="48" t="s">
        <v>821</v>
      </c>
      <c r="D337" s="111" t="s">
        <v>824</v>
      </c>
      <c r="E337" s="111">
        <v>50939.0</v>
      </c>
      <c r="F337" s="121"/>
      <c r="G337" s="121"/>
    </row>
    <row r="338" ht="24.75" customHeight="1">
      <c r="A338" s="119" t="s">
        <v>825</v>
      </c>
      <c r="B338" s="96" t="s">
        <v>804</v>
      </c>
      <c r="C338" s="42"/>
      <c r="D338" s="42" t="s">
        <v>826</v>
      </c>
      <c r="E338" s="113"/>
      <c r="F338" s="120"/>
      <c r="G338" s="120"/>
    </row>
    <row r="339" ht="24.75" customHeight="1">
      <c r="A339" s="116" t="s">
        <v>827</v>
      </c>
      <c r="B339" s="93" t="s">
        <v>804</v>
      </c>
      <c r="C339" s="48" t="s">
        <v>826</v>
      </c>
      <c r="D339" s="111" t="s">
        <v>828</v>
      </c>
      <c r="E339" s="111">
        <v>55133.0</v>
      </c>
      <c r="F339" s="121"/>
      <c r="G339" s="121"/>
    </row>
    <row r="340" ht="24.75" customHeight="1">
      <c r="A340" s="119" t="s">
        <v>829</v>
      </c>
      <c r="B340" s="96" t="s">
        <v>804</v>
      </c>
      <c r="C340" s="42" t="s">
        <v>826</v>
      </c>
      <c r="D340" s="113" t="s">
        <v>830</v>
      </c>
      <c r="E340" s="113">
        <v>53823.0</v>
      </c>
      <c r="F340" s="120"/>
      <c r="G340" s="120"/>
    </row>
    <row r="341" ht="24.75" customHeight="1">
      <c r="A341" s="116" t="s">
        <v>831</v>
      </c>
      <c r="B341" s="93" t="s">
        <v>804</v>
      </c>
      <c r="C341" s="48" t="s">
        <v>826</v>
      </c>
      <c r="D341" s="111" t="s">
        <v>832</v>
      </c>
      <c r="E341" s="111">
        <v>13176.0</v>
      </c>
      <c r="F341" s="121"/>
      <c r="G341" s="121"/>
    </row>
    <row r="342" ht="24.75" customHeight="1">
      <c r="A342" s="119" t="s">
        <v>833</v>
      </c>
      <c r="B342" s="96" t="s">
        <v>804</v>
      </c>
      <c r="C342" s="42" t="s">
        <v>826</v>
      </c>
      <c r="D342" s="113" t="s">
        <v>834</v>
      </c>
      <c r="E342" s="113">
        <v>12919.0</v>
      </c>
      <c r="F342" s="120"/>
      <c r="G342" s="120"/>
    </row>
    <row r="343" ht="24.75" customHeight="1">
      <c r="A343" s="116" t="s">
        <v>835</v>
      </c>
      <c r="B343" s="93" t="s">
        <v>804</v>
      </c>
      <c r="C343" s="48"/>
      <c r="D343" s="111" t="s">
        <v>836</v>
      </c>
      <c r="E343" s="111"/>
      <c r="F343" s="121"/>
      <c r="G343" s="121"/>
    </row>
    <row r="344" ht="24.75" customHeight="1">
      <c r="A344" s="119" t="s">
        <v>837</v>
      </c>
      <c r="B344" s="96" t="s">
        <v>804</v>
      </c>
      <c r="C344" s="42" t="s">
        <v>838</v>
      </c>
      <c r="D344" s="113" t="s">
        <v>839</v>
      </c>
      <c r="E344" s="113">
        <v>44066.0</v>
      </c>
      <c r="F344" s="120"/>
      <c r="G344" s="120"/>
    </row>
    <row r="345" ht="24.75" customHeight="1">
      <c r="A345" s="116" t="s">
        <v>840</v>
      </c>
      <c r="B345" s="93" t="s">
        <v>804</v>
      </c>
      <c r="C345" s="48" t="s">
        <v>838</v>
      </c>
      <c r="D345" s="111" t="s">
        <v>841</v>
      </c>
      <c r="E345" s="111">
        <v>44066.0</v>
      </c>
      <c r="F345" s="121"/>
      <c r="G345" s="121"/>
    </row>
    <row r="346" ht="24.75" customHeight="1">
      <c r="A346" s="119" t="s">
        <v>842</v>
      </c>
      <c r="B346" s="96" t="s">
        <v>804</v>
      </c>
      <c r="C346" s="42" t="s">
        <v>838</v>
      </c>
      <c r="D346" s="113" t="s">
        <v>843</v>
      </c>
      <c r="E346" s="113">
        <v>44066.0</v>
      </c>
      <c r="F346" s="120"/>
      <c r="G346" s="120"/>
    </row>
    <row r="347" ht="24.75" customHeight="1">
      <c r="A347" s="116"/>
      <c r="B347" s="93" t="s">
        <v>804</v>
      </c>
      <c r="C347" s="48"/>
      <c r="D347" s="111"/>
      <c r="E347" s="111"/>
      <c r="F347" s="121"/>
      <c r="G347" s="121"/>
    </row>
    <row r="348" ht="24.75" customHeight="1">
      <c r="A348" s="119"/>
      <c r="B348" s="96" t="s">
        <v>804</v>
      </c>
      <c r="C348" s="42"/>
      <c r="D348" s="113"/>
      <c r="E348" s="113"/>
      <c r="F348" s="120"/>
      <c r="G348" s="120"/>
    </row>
    <row r="349" ht="24.75" customHeight="1">
      <c r="A349" s="116" t="s">
        <v>844</v>
      </c>
      <c r="B349" s="93" t="s">
        <v>804</v>
      </c>
      <c r="C349" s="48"/>
      <c r="D349" s="48" t="s">
        <v>845</v>
      </c>
      <c r="E349" s="111"/>
      <c r="F349" s="121"/>
      <c r="G349" s="121"/>
    </row>
    <row r="350" ht="24.75" customHeight="1">
      <c r="A350" s="119" t="s">
        <v>846</v>
      </c>
      <c r="B350" s="96" t="s">
        <v>804</v>
      </c>
      <c r="C350" s="42" t="s">
        <v>845</v>
      </c>
      <c r="D350" s="113" t="s">
        <v>847</v>
      </c>
      <c r="E350" s="113">
        <v>51169.0</v>
      </c>
      <c r="F350" s="120"/>
      <c r="G350" s="120"/>
    </row>
    <row r="351" ht="24.75" customHeight="1">
      <c r="A351" s="116"/>
      <c r="B351" s="93" t="s">
        <v>804</v>
      </c>
      <c r="C351" s="48"/>
      <c r="D351" s="111"/>
      <c r="E351" s="111"/>
      <c r="F351" s="121"/>
      <c r="G351" s="121"/>
    </row>
    <row r="352" ht="24.75" customHeight="1">
      <c r="A352" s="119" t="s">
        <v>848</v>
      </c>
      <c r="B352" s="96" t="s">
        <v>804</v>
      </c>
      <c r="C352" s="42"/>
      <c r="D352" s="42" t="s">
        <v>849</v>
      </c>
      <c r="E352" s="113"/>
      <c r="F352" s="120"/>
      <c r="G352" s="120"/>
    </row>
    <row r="353" ht="24.75" customHeight="1">
      <c r="A353" s="116" t="s">
        <v>850</v>
      </c>
      <c r="B353" s="93" t="s">
        <v>804</v>
      </c>
      <c r="C353" s="48" t="s">
        <v>849</v>
      </c>
      <c r="D353" s="111" t="s">
        <v>851</v>
      </c>
      <c r="E353" s="111">
        <v>47954.0</v>
      </c>
      <c r="F353" s="121"/>
      <c r="G353" s="121"/>
    </row>
    <row r="354" ht="24.75" customHeight="1">
      <c r="A354" s="119" t="s">
        <v>852</v>
      </c>
      <c r="B354" s="96" t="s">
        <v>804</v>
      </c>
      <c r="C354" s="42" t="s">
        <v>849</v>
      </c>
      <c r="D354" s="113" t="s">
        <v>853</v>
      </c>
      <c r="E354" s="113">
        <v>51169.0</v>
      </c>
      <c r="F354" s="120"/>
      <c r="G354" s="120"/>
    </row>
    <row r="355" ht="24.75" customHeight="1">
      <c r="A355" s="116" t="s">
        <v>854</v>
      </c>
      <c r="B355" s="93" t="s">
        <v>804</v>
      </c>
      <c r="C355" s="48" t="s">
        <v>849</v>
      </c>
      <c r="D355" s="111" t="s">
        <v>855</v>
      </c>
      <c r="E355" s="111">
        <v>52662.0</v>
      </c>
      <c r="F355" s="121"/>
      <c r="G355" s="121"/>
    </row>
    <row r="356" ht="24.75" customHeight="1">
      <c r="A356" s="119" t="s">
        <v>856</v>
      </c>
      <c r="B356" s="96" t="s">
        <v>804</v>
      </c>
      <c r="C356" s="42" t="s">
        <v>849</v>
      </c>
      <c r="D356" s="113" t="s">
        <v>857</v>
      </c>
      <c r="E356" s="113">
        <v>56234.0</v>
      </c>
      <c r="F356" s="120"/>
      <c r="G356" s="120"/>
    </row>
    <row r="357" ht="24.75" customHeight="1">
      <c r="A357" s="116" t="s">
        <v>858</v>
      </c>
      <c r="B357" s="93" t="s">
        <v>804</v>
      </c>
      <c r="C357" s="48"/>
      <c r="D357" s="48" t="s">
        <v>859</v>
      </c>
      <c r="E357" s="111"/>
      <c r="F357" s="121"/>
      <c r="G357" s="121"/>
    </row>
    <row r="358" ht="24.75" customHeight="1">
      <c r="A358" s="119" t="s">
        <v>860</v>
      </c>
      <c r="B358" s="96" t="s">
        <v>804</v>
      </c>
      <c r="C358" s="42" t="s">
        <v>859</v>
      </c>
      <c r="D358" s="113" t="s">
        <v>861</v>
      </c>
      <c r="E358" s="113">
        <v>23579.0</v>
      </c>
      <c r="F358" s="120" t="s">
        <v>862</v>
      </c>
      <c r="G358" s="120"/>
    </row>
    <row r="359" ht="24.75" customHeight="1">
      <c r="A359" s="116" t="s">
        <v>863</v>
      </c>
      <c r="B359" s="93" t="s">
        <v>804</v>
      </c>
      <c r="C359" s="48" t="s">
        <v>859</v>
      </c>
      <c r="D359" s="111" t="s">
        <v>864</v>
      </c>
      <c r="E359" s="111">
        <v>32831.0</v>
      </c>
      <c r="F359" s="121" t="s">
        <v>865</v>
      </c>
      <c r="G359" s="121"/>
    </row>
    <row r="360" ht="24.75" customHeight="1">
      <c r="A360" s="119" t="s">
        <v>866</v>
      </c>
      <c r="B360" s="96" t="s">
        <v>804</v>
      </c>
      <c r="C360" s="42" t="s">
        <v>859</v>
      </c>
      <c r="D360" s="113" t="s">
        <v>867</v>
      </c>
      <c r="E360" s="113">
        <v>49233.0</v>
      </c>
      <c r="F360" s="120" t="s">
        <v>868</v>
      </c>
      <c r="G360" s="120"/>
    </row>
    <row r="361" ht="24.75" customHeight="1">
      <c r="A361" s="116" t="s">
        <v>869</v>
      </c>
      <c r="B361" s="93" t="s">
        <v>804</v>
      </c>
      <c r="C361" s="48" t="s">
        <v>859</v>
      </c>
      <c r="D361" s="111" t="s">
        <v>870</v>
      </c>
      <c r="E361" s="111">
        <v>32831.0</v>
      </c>
      <c r="F361" s="121" t="s">
        <v>868</v>
      </c>
      <c r="G361" s="121"/>
    </row>
    <row r="362" ht="24.75" customHeight="1">
      <c r="A362" s="119" t="s">
        <v>871</v>
      </c>
      <c r="B362" s="96" t="s">
        <v>804</v>
      </c>
      <c r="C362" s="42"/>
      <c r="D362" s="113" t="s">
        <v>872</v>
      </c>
      <c r="E362" s="113"/>
      <c r="F362" s="120"/>
      <c r="G362" s="120"/>
    </row>
    <row r="363" ht="24.75" customHeight="1">
      <c r="A363" s="116" t="s">
        <v>873</v>
      </c>
      <c r="B363" s="93" t="s">
        <v>804</v>
      </c>
      <c r="C363" s="111" t="s">
        <v>872</v>
      </c>
      <c r="D363" s="111" t="s">
        <v>874</v>
      </c>
      <c r="E363" s="111">
        <v>17113.0</v>
      </c>
      <c r="F363" s="121" t="s">
        <v>875</v>
      </c>
      <c r="G363" s="121"/>
    </row>
    <row r="364" ht="24.75" customHeight="1">
      <c r="A364" s="119" t="s">
        <v>876</v>
      </c>
      <c r="B364" s="96" t="s">
        <v>804</v>
      </c>
      <c r="C364" s="113" t="s">
        <v>872</v>
      </c>
      <c r="D364" s="113" t="s">
        <v>877</v>
      </c>
      <c r="E364" s="113">
        <v>21675.0</v>
      </c>
      <c r="F364" s="120" t="s">
        <v>875</v>
      </c>
      <c r="G364" s="120"/>
    </row>
    <row r="365" ht="24.75" customHeight="1">
      <c r="A365" s="116" t="s">
        <v>878</v>
      </c>
      <c r="B365" s="93" t="s">
        <v>804</v>
      </c>
      <c r="C365" s="111" t="s">
        <v>872</v>
      </c>
      <c r="D365" s="111" t="s">
        <v>879</v>
      </c>
      <c r="E365" s="111">
        <v>18419.0</v>
      </c>
      <c r="F365" s="121" t="s">
        <v>875</v>
      </c>
      <c r="G365" s="121"/>
    </row>
    <row r="366" ht="24.75" customHeight="1">
      <c r="A366" s="119" t="s">
        <v>880</v>
      </c>
      <c r="B366" s="96" t="s">
        <v>804</v>
      </c>
      <c r="C366" s="42"/>
      <c r="D366" s="113" t="s">
        <v>881</v>
      </c>
      <c r="E366" s="113"/>
      <c r="F366" s="120"/>
      <c r="G366" s="120"/>
    </row>
    <row r="367" ht="24.75" customHeight="1">
      <c r="A367" s="116" t="s">
        <v>882</v>
      </c>
      <c r="B367" s="93" t="s">
        <v>804</v>
      </c>
      <c r="C367" s="111" t="s">
        <v>881</v>
      </c>
      <c r="D367" s="111" t="s">
        <v>883</v>
      </c>
      <c r="E367" s="111">
        <v>283086.0</v>
      </c>
      <c r="F367" s="121" t="s">
        <v>884</v>
      </c>
      <c r="G367" s="121"/>
    </row>
    <row r="368" ht="24.75" customHeight="1">
      <c r="A368" s="119" t="s">
        <v>885</v>
      </c>
      <c r="B368" s="96" t="s">
        <v>804</v>
      </c>
      <c r="C368" s="113" t="s">
        <v>881</v>
      </c>
      <c r="D368" s="113" t="s">
        <v>886</v>
      </c>
      <c r="E368" s="113">
        <v>143689.0</v>
      </c>
      <c r="F368" s="120" t="s">
        <v>884</v>
      </c>
      <c r="G368" s="120"/>
    </row>
    <row r="369" ht="24.75" customHeight="1">
      <c r="A369" s="116" t="s">
        <v>887</v>
      </c>
      <c r="B369" s="93" t="s">
        <v>804</v>
      </c>
      <c r="C369" s="111" t="s">
        <v>881</v>
      </c>
      <c r="D369" s="111" t="s">
        <v>888</v>
      </c>
      <c r="E369" s="111">
        <v>383351.0</v>
      </c>
      <c r="F369" s="121" t="s">
        <v>884</v>
      </c>
      <c r="G369" s="121"/>
    </row>
    <row r="370" ht="24.75" customHeight="1">
      <c r="A370" s="119" t="s">
        <v>889</v>
      </c>
      <c r="B370" s="96" t="s">
        <v>804</v>
      </c>
      <c r="C370" s="113" t="s">
        <v>881</v>
      </c>
      <c r="D370" s="113" t="s">
        <v>890</v>
      </c>
      <c r="E370" s="113">
        <v>69601.0</v>
      </c>
      <c r="F370" s="120" t="s">
        <v>884</v>
      </c>
      <c r="G370" s="120"/>
    </row>
    <row r="371" ht="24.75" customHeight="1">
      <c r="A371" s="116" t="s">
        <v>891</v>
      </c>
      <c r="B371" s="93" t="s">
        <v>804</v>
      </c>
      <c r="C371" s="111" t="s">
        <v>881</v>
      </c>
      <c r="D371" s="111" t="s">
        <v>892</v>
      </c>
      <c r="E371" s="111">
        <v>119824.0</v>
      </c>
      <c r="F371" s="121" t="s">
        <v>884</v>
      </c>
      <c r="G371" s="121"/>
    </row>
    <row r="372" ht="24.75" customHeight="1">
      <c r="A372" s="119" t="s">
        <v>893</v>
      </c>
      <c r="B372" s="96" t="s">
        <v>804</v>
      </c>
      <c r="C372" s="113" t="s">
        <v>881</v>
      </c>
      <c r="D372" s="113" t="s">
        <v>894</v>
      </c>
      <c r="E372" s="113">
        <v>119824.0</v>
      </c>
      <c r="F372" s="120" t="s">
        <v>884</v>
      </c>
      <c r="G372" s="120"/>
    </row>
    <row r="373" ht="24.75" customHeight="1">
      <c r="A373" s="116" t="s">
        <v>895</v>
      </c>
      <c r="B373" s="93" t="s">
        <v>804</v>
      </c>
      <c r="C373" s="111" t="s">
        <v>881</v>
      </c>
      <c r="D373" s="111" t="s">
        <v>896</v>
      </c>
      <c r="E373" s="111">
        <v>101088.0</v>
      </c>
      <c r="F373" s="121" t="s">
        <v>884</v>
      </c>
      <c r="G373" s="121"/>
    </row>
    <row r="374" ht="24.75" customHeight="1">
      <c r="A374" s="119" t="s">
        <v>897</v>
      </c>
      <c r="B374" s="96" t="s">
        <v>804</v>
      </c>
      <c r="C374" s="113" t="s">
        <v>881</v>
      </c>
      <c r="D374" s="113" t="s">
        <v>898</v>
      </c>
      <c r="E374" s="113">
        <v>201195.0</v>
      </c>
      <c r="F374" s="120" t="s">
        <v>884</v>
      </c>
      <c r="G374" s="120"/>
    </row>
    <row r="375" ht="24.75" customHeight="1">
      <c r="A375" s="116" t="s">
        <v>899</v>
      </c>
      <c r="B375" s="93" t="s">
        <v>804</v>
      </c>
      <c r="C375" s="111" t="s">
        <v>881</v>
      </c>
      <c r="D375" s="111" t="s">
        <v>900</v>
      </c>
      <c r="E375" s="111">
        <v>804881.0</v>
      </c>
      <c r="F375" s="121" t="s">
        <v>884</v>
      </c>
      <c r="G375" s="121"/>
    </row>
    <row r="376" ht="24.75" customHeight="1">
      <c r="A376" s="119" t="s">
        <v>901</v>
      </c>
      <c r="B376" s="96" t="s">
        <v>804</v>
      </c>
      <c r="C376" s="113" t="s">
        <v>881</v>
      </c>
      <c r="D376" s="113" t="s">
        <v>902</v>
      </c>
      <c r="E376" s="113">
        <v>1207266.0</v>
      </c>
      <c r="F376" s="120" t="s">
        <v>884</v>
      </c>
      <c r="G376" s="120"/>
    </row>
    <row r="377" ht="24.75" customHeight="1">
      <c r="A377" s="116" t="s">
        <v>903</v>
      </c>
      <c r="B377" s="93" t="s">
        <v>804</v>
      </c>
      <c r="C377" s="111" t="s">
        <v>881</v>
      </c>
      <c r="D377" s="111" t="s">
        <v>904</v>
      </c>
      <c r="E377" s="111">
        <v>1.0</v>
      </c>
      <c r="F377" s="121" t="s">
        <v>884</v>
      </c>
      <c r="G377" s="121"/>
    </row>
    <row r="378" ht="24.75" customHeight="1">
      <c r="A378" s="119" t="s">
        <v>905</v>
      </c>
      <c r="B378" s="96" t="s">
        <v>804</v>
      </c>
      <c r="C378" s="42"/>
      <c r="D378" s="113" t="s">
        <v>906</v>
      </c>
      <c r="E378" s="113"/>
      <c r="F378" s="120"/>
      <c r="G378" s="120"/>
    </row>
    <row r="379" ht="24.75" customHeight="1">
      <c r="A379" s="116" t="s">
        <v>907</v>
      </c>
      <c r="B379" s="93" t="s">
        <v>804</v>
      </c>
      <c r="C379" s="111" t="s">
        <v>906</v>
      </c>
      <c r="D379" s="111" t="s">
        <v>908</v>
      </c>
      <c r="E379" s="111">
        <v>26261.0</v>
      </c>
      <c r="F379" s="121" t="s">
        <v>909</v>
      </c>
      <c r="G379" s="121"/>
    </row>
    <row r="380" ht="24.75" customHeight="1">
      <c r="A380" s="119" t="s">
        <v>910</v>
      </c>
      <c r="B380" s="96" t="s">
        <v>804</v>
      </c>
      <c r="C380" s="113" t="s">
        <v>906</v>
      </c>
      <c r="D380" s="113" t="s">
        <v>911</v>
      </c>
      <c r="E380" s="113">
        <v>26261.0</v>
      </c>
      <c r="F380" s="120" t="s">
        <v>909</v>
      </c>
      <c r="G380" s="120"/>
    </row>
    <row r="381" ht="24.75" customHeight="1">
      <c r="A381" s="116" t="s">
        <v>912</v>
      </c>
      <c r="B381" s="93" t="s">
        <v>804</v>
      </c>
      <c r="C381" s="111" t="s">
        <v>906</v>
      </c>
      <c r="D381" s="111" t="s">
        <v>913</v>
      </c>
      <c r="E381" s="111">
        <v>52524.0</v>
      </c>
      <c r="F381" s="121" t="s">
        <v>909</v>
      </c>
      <c r="G381" s="121"/>
    </row>
    <row r="382" ht="24.75" customHeight="1">
      <c r="A382" s="119" t="s">
        <v>914</v>
      </c>
      <c r="B382" s="96" t="s">
        <v>804</v>
      </c>
      <c r="C382" s="113" t="s">
        <v>906</v>
      </c>
      <c r="D382" s="113" t="s">
        <v>915</v>
      </c>
      <c r="E382" s="113">
        <v>69581.0</v>
      </c>
      <c r="F382" s="120" t="s">
        <v>909</v>
      </c>
      <c r="G382" s="120"/>
    </row>
    <row r="383" ht="24.75" customHeight="1">
      <c r="A383" s="116" t="s">
        <v>916</v>
      </c>
      <c r="B383" s="93" t="s">
        <v>804</v>
      </c>
      <c r="C383" s="111" t="s">
        <v>906</v>
      </c>
      <c r="D383" s="111" t="s">
        <v>917</v>
      </c>
      <c r="E383" s="111">
        <v>17113.0</v>
      </c>
      <c r="F383" s="121" t="s">
        <v>909</v>
      </c>
      <c r="G383" s="121"/>
    </row>
    <row r="384" ht="24.75" customHeight="1">
      <c r="A384" s="119" t="s">
        <v>918</v>
      </c>
      <c r="B384" s="96" t="s">
        <v>804</v>
      </c>
      <c r="C384" s="113" t="s">
        <v>906</v>
      </c>
      <c r="D384" s="113" t="s">
        <v>919</v>
      </c>
      <c r="E384" s="113">
        <v>91894.0</v>
      </c>
      <c r="F384" s="120" t="s">
        <v>909</v>
      </c>
      <c r="G384" s="120"/>
    </row>
    <row r="385" ht="24.75" customHeight="1">
      <c r="A385" s="116" t="s">
        <v>920</v>
      </c>
      <c r="B385" s="93" t="s">
        <v>804</v>
      </c>
      <c r="C385" s="111" t="s">
        <v>906</v>
      </c>
      <c r="D385" s="111" t="s">
        <v>921</v>
      </c>
      <c r="E385" s="111">
        <v>52524.0</v>
      </c>
      <c r="F385" s="121" t="s">
        <v>909</v>
      </c>
      <c r="G385" s="121"/>
    </row>
    <row r="386" ht="24.75" customHeight="1">
      <c r="A386" s="119" t="s">
        <v>922</v>
      </c>
      <c r="B386" s="96" t="s">
        <v>804</v>
      </c>
      <c r="C386" s="113" t="s">
        <v>906</v>
      </c>
      <c r="D386" s="113" t="s">
        <v>923</v>
      </c>
      <c r="E386" s="113">
        <v>64657.0</v>
      </c>
      <c r="F386" s="120" t="s">
        <v>909</v>
      </c>
      <c r="G386" s="120"/>
    </row>
    <row r="387" ht="24.75" customHeight="1">
      <c r="A387" s="116" t="s">
        <v>924</v>
      </c>
      <c r="B387" s="93" t="s">
        <v>804</v>
      </c>
      <c r="C387" s="111" t="s">
        <v>906</v>
      </c>
      <c r="D387" s="111" t="s">
        <v>925</v>
      </c>
      <c r="E387" s="111">
        <v>65682.0</v>
      </c>
      <c r="F387" s="121" t="s">
        <v>909</v>
      </c>
      <c r="G387" s="121"/>
    </row>
    <row r="388" ht="24.75" customHeight="1">
      <c r="A388" s="119" t="s">
        <v>926</v>
      </c>
      <c r="B388" s="96" t="s">
        <v>804</v>
      </c>
      <c r="C388" s="113" t="s">
        <v>906</v>
      </c>
      <c r="D388" s="113" t="s">
        <v>927</v>
      </c>
      <c r="E388" s="113">
        <v>81506.0</v>
      </c>
      <c r="F388" s="120" t="s">
        <v>909</v>
      </c>
      <c r="G388" s="120"/>
    </row>
    <row r="389" ht="24.75" customHeight="1">
      <c r="A389" s="116" t="s">
        <v>928</v>
      </c>
      <c r="B389" s="93" t="s">
        <v>804</v>
      </c>
      <c r="C389" s="111" t="s">
        <v>906</v>
      </c>
      <c r="D389" s="111" t="s">
        <v>929</v>
      </c>
      <c r="E389" s="111">
        <v>95829.0</v>
      </c>
      <c r="F389" s="121" t="s">
        <v>909</v>
      </c>
      <c r="G389" s="121"/>
    </row>
    <row r="390" ht="24.75" customHeight="1">
      <c r="A390" s="119" t="s">
        <v>930</v>
      </c>
      <c r="B390" s="96" t="s">
        <v>804</v>
      </c>
      <c r="C390" s="113" t="s">
        <v>906</v>
      </c>
      <c r="D390" s="113" t="s">
        <v>931</v>
      </c>
      <c r="E390" s="113">
        <v>119824.0</v>
      </c>
      <c r="F390" s="120" t="s">
        <v>909</v>
      </c>
      <c r="G390" s="120"/>
    </row>
    <row r="391" ht="24.75" customHeight="1">
      <c r="A391" s="116" t="s">
        <v>932</v>
      </c>
      <c r="B391" s="93" t="s">
        <v>804</v>
      </c>
      <c r="C391" s="93"/>
      <c r="D391" s="93" t="s">
        <v>933</v>
      </c>
      <c r="E391" s="111"/>
      <c r="F391" s="121"/>
      <c r="G391" s="121"/>
    </row>
    <row r="392" ht="24.75" customHeight="1">
      <c r="A392" s="119" t="s">
        <v>934</v>
      </c>
      <c r="B392" s="96" t="s">
        <v>804</v>
      </c>
      <c r="C392" s="96" t="s">
        <v>935</v>
      </c>
      <c r="D392" s="117" t="s">
        <v>936</v>
      </c>
      <c r="E392" s="113">
        <v>201195.0</v>
      </c>
      <c r="F392" s="120" t="s">
        <v>937</v>
      </c>
      <c r="G392" s="120"/>
    </row>
    <row r="393" ht="24.75" customHeight="1">
      <c r="A393" s="116" t="s">
        <v>938</v>
      </c>
      <c r="B393" s="93" t="s">
        <v>804</v>
      </c>
      <c r="C393" s="93" t="s">
        <v>935</v>
      </c>
      <c r="D393" s="117" t="s">
        <v>939</v>
      </c>
      <c r="E393" s="111">
        <v>287531.0</v>
      </c>
      <c r="F393" s="121" t="s">
        <v>937</v>
      </c>
      <c r="G393" s="121"/>
    </row>
    <row r="394" ht="24.75" customHeight="1">
      <c r="A394" s="119" t="s">
        <v>940</v>
      </c>
      <c r="B394" s="96" t="s">
        <v>804</v>
      </c>
      <c r="C394" s="96" t="s">
        <v>935</v>
      </c>
      <c r="D394" s="117" t="s">
        <v>941</v>
      </c>
      <c r="E394" s="113">
        <v>670783.0</v>
      </c>
      <c r="F394" s="120" t="s">
        <v>942</v>
      </c>
      <c r="G394" s="120"/>
    </row>
    <row r="395" ht="24.75" customHeight="1">
      <c r="A395" s="116" t="s">
        <v>943</v>
      </c>
      <c r="B395" s="93" t="s">
        <v>804</v>
      </c>
      <c r="C395" s="93" t="s">
        <v>935</v>
      </c>
      <c r="D395" s="117" t="s">
        <v>944</v>
      </c>
      <c r="E395" s="111">
        <v>766600.0</v>
      </c>
      <c r="F395" s="121" t="s">
        <v>942</v>
      </c>
      <c r="G395" s="121"/>
    </row>
    <row r="396" ht="24.75" customHeight="1">
      <c r="A396" s="119" t="s">
        <v>945</v>
      </c>
      <c r="B396" s="96" t="s">
        <v>804</v>
      </c>
      <c r="C396" s="96" t="s">
        <v>935</v>
      </c>
      <c r="D396" s="117" t="s">
        <v>946</v>
      </c>
      <c r="E396" s="113">
        <v>143689.0</v>
      </c>
      <c r="F396" s="120" t="s">
        <v>937</v>
      </c>
      <c r="G396" s="120"/>
    </row>
    <row r="397" ht="24.75" customHeight="1">
      <c r="A397" s="116" t="s">
        <v>947</v>
      </c>
      <c r="B397" s="93" t="s">
        <v>804</v>
      </c>
      <c r="C397" s="93" t="s">
        <v>935</v>
      </c>
      <c r="D397" s="117" t="s">
        <v>948</v>
      </c>
      <c r="E397" s="111">
        <v>790507.0</v>
      </c>
      <c r="F397" s="121" t="s">
        <v>937</v>
      </c>
      <c r="G397" s="121"/>
    </row>
    <row r="398" ht="24.75" customHeight="1">
      <c r="A398" s="119" t="s">
        <v>949</v>
      </c>
      <c r="B398" s="96" t="s">
        <v>804</v>
      </c>
      <c r="C398" s="96" t="s">
        <v>935</v>
      </c>
      <c r="D398" s="117" t="s">
        <v>950</v>
      </c>
      <c r="E398" s="113">
        <v>201195.0</v>
      </c>
      <c r="F398" s="120" t="s">
        <v>937</v>
      </c>
      <c r="G398" s="120"/>
    </row>
    <row r="399" ht="24.75" customHeight="1">
      <c r="A399" s="116" t="s">
        <v>951</v>
      </c>
      <c r="B399" s="93" t="s">
        <v>804</v>
      </c>
      <c r="C399" s="93" t="s">
        <v>935</v>
      </c>
      <c r="D399" s="117" t="s">
        <v>952</v>
      </c>
      <c r="E399" s="111">
        <v>287531.0</v>
      </c>
      <c r="F399" s="121" t="s">
        <v>937</v>
      </c>
      <c r="G399" s="121"/>
    </row>
    <row r="400" ht="24.75" customHeight="1">
      <c r="A400" s="119" t="s">
        <v>953</v>
      </c>
      <c r="B400" s="96" t="s">
        <v>804</v>
      </c>
      <c r="C400" s="96" t="s">
        <v>935</v>
      </c>
      <c r="D400" s="117" t="s">
        <v>954</v>
      </c>
      <c r="E400" s="113">
        <v>287531.0</v>
      </c>
      <c r="F400" s="120" t="s">
        <v>937</v>
      </c>
      <c r="G400" s="120"/>
    </row>
    <row r="401" ht="24.75" customHeight="1">
      <c r="A401" s="116" t="s">
        <v>955</v>
      </c>
      <c r="B401" s="93" t="s">
        <v>804</v>
      </c>
      <c r="C401" s="93"/>
      <c r="D401" s="117" t="s">
        <v>956</v>
      </c>
      <c r="E401" s="111"/>
      <c r="F401" s="121"/>
      <c r="G401" s="121"/>
    </row>
    <row r="402" ht="24.75" customHeight="1">
      <c r="A402" s="119" t="s">
        <v>957</v>
      </c>
      <c r="B402" s="96" t="s">
        <v>804</v>
      </c>
      <c r="C402" s="117" t="s">
        <v>956</v>
      </c>
      <c r="D402" s="117" t="s">
        <v>958</v>
      </c>
      <c r="E402" s="113">
        <v>11634.0</v>
      </c>
      <c r="F402" s="120" t="s">
        <v>959</v>
      </c>
      <c r="G402" s="120"/>
    </row>
    <row r="403" ht="24.75" customHeight="1">
      <c r="A403" s="116" t="s">
        <v>960</v>
      </c>
      <c r="B403" s="93" t="s">
        <v>804</v>
      </c>
      <c r="C403" s="117" t="s">
        <v>956</v>
      </c>
      <c r="D403" s="117" t="s">
        <v>961</v>
      </c>
      <c r="E403" s="111">
        <v>15534.0</v>
      </c>
      <c r="F403" s="121" t="s">
        <v>959</v>
      </c>
      <c r="G403" s="121"/>
    </row>
    <row r="404" ht="24.75" customHeight="1">
      <c r="A404" s="119" t="s">
        <v>962</v>
      </c>
      <c r="B404" s="96" t="s">
        <v>804</v>
      </c>
      <c r="C404" s="117" t="s">
        <v>956</v>
      </c>
      <c r="D404" s="117" t="s">
        <v>963</v>
      </c>
      <c r="E404" s="113">
        <v>7772.0</v>
      </c>
      <c r="F404" s="120" t="s">
        <v>959</v>
      </c>
      <c r="G404" s="120"/>
    </row>
    <row r="405" ht="24.75" customHeight="1">
      <c r="A405" s="116" t="s">
        <v>964</v>
      </c>
      <c r="B405" s="93" t="s">
        <v>804</v>
      </c>
      <c r="C405" s="117" t="s">
        <v>956</v>
      </c>
      <c r="D405" s="117" t="s">
        <v>965</v>
      </c>
      <c r="E405" s="111">
        <v>14552.0</v>
      </c>
      <c r="F405" s="121" t="s">
        <v>966</v>
      </c>
      <c r="G405" s="121"/>
    </row>
    <row r="406" ht="24.75" customHeight="1">
      <c r="A406" s="119" t="s">
        <v>967</v>
      </c>
      <c r="B406" s="96" t="s">
        <v>804</v>
      </c>
      <c r="C406" s="117" t="s">
        <v>956</v>
      </c>
      <c r="D406" s="117" t="s">
        <v>968</v>
      </c>
      <c r="E406" s="113">
        <v>18376.0</v>
      </c>
      <c r="F406" s="120" t="s">
        <v>966</v>
      </c>
      <c r="G406" s="120"/>
    </row>
    <row r="407" ht="24.75" customHeight="1">
      <c r="A407" s="116" t="s">
        <v>969</v>
      </c>
      <c r="B407" s="93" t="s">
        <v>804</v>
      </c>
      <c r="C407" s="117" t="s">
        <v>956</v>
      </c>
      <c r="D407" s="117" t="s">
        <v>970</v>
      </c>
      <c r="E407" s="111">
        <v>22328.0</v>
      </c>
      <c r="F407" s="121" t="s">
        <v>966</v>
      </c>
      <c r="G407" s="121"/>
    </row>
    <row r="408" ht="24.75" customHeight="1">
      <c r="A408" s="119" t="s">
        <v>971</v>
      </c>
      <c r="B408" s="96" t="s">
        <v>804</v>
      </c>
      <c r="C408" s="117" t="s">
        <v>956</v>
      </c>
      <c r="D408" s="117" t="s">
        <v>972</v>
      </c>
      <c r="E408" s="113">
        <v>17440.0</v>
      </c>
      <c r="F408" s="120" t="s">
        <v>959</v>
      </c>
      <c r="G408" s="120"/>
    </row>
    <row r="409" ht="24.75" customHeight="1">
      <c r="A409" s="116" t="s">
        <v>973</v>
      </c>
      <c r="B409" s="93" t="s">
        <v>804</v>
      </c>
      <c r="C409" s="117" t="s">
        <v>956</v>
      </c>
      <c r="D409" s="117" t="s">
        <v>974</v>
      </c>
      <c r="E409" s="111">
        <v>23292.0</v>
      </c>
      <c r="F409" s="121" t="s">
        <v>959</v>
      </c>
      <c r="G409" s="121"/>
    </row>
    <row r="410" ht="24.75" customHeight="1">
      <c r="A410" s="119" t="s">
        <v>975</v>
      </c>
      <c r="B410" s="96" t="s">
        <v>804</v>
      </c>
      <c r="C410" s="117" t="s">
        <v>956</v>
      </c>
      <c r="D410" s="117" t="s">
        <v>976</v>
      </c>
      <c r="E410" s="113">
        <v>11634.0</v>
      </c>
      <c r="F410" s="120" t="s">
        <v>959</v>
      </c>
      <c r="G410" s="120"/>
    </row>
    <row r="411" ht="24.75" customHeight="1">
      <c r="A411" s="116" t="s">
        <v>977</v>
      </c>
      <c r="B411" s="93" t="s">
        <v>804</v>
      </c>
      <c r="C411" s="117" t="s">
        <v>956</v>
      </c>
      <c r="D411" s="117" t="s">
        <v>978</v>
      </c>
      <c r="E411" s="111">
        <v>14934.0</v>
      </c>
      <c r="F411" s="121" t="s">
        <v>966</v>
      </c>
      <c r="G411" s="121"/>
    </row>
    <row r="412" ht="24.75" customHeight="1">
      <c r="A412" s="119" t="s">
        <v>979</v>
      </c>
      <c r="B412" s="96" t="s">
        <v>804</v>
      </c>
      <c r="C412" s="117" t="s">
        <v>956</v>
      </c>
      <c r="D412" s="117" t="s">
        <v>980</v>
      </c>
      <c r="E412" s="113">
        <v>22491.0</v>
      </c>
      <c r="F412" s="120" t="s">
        <v>966</v>
      </c>
      <c r="G412" s="120"/>
    </row>
    <row r="413" ht="24.75" customHeight="1">
      <c r="A413" s="116" t="s">
        <v>981</v>
      </c>
      <c r="B413" s="93" t="s">
        <v>804</v>
      </c>
      <c r="C413" s="117" t="s">
        <v>956</v>
      </c>
      <c r="D413" s="117" t="s">
        <v>982</v>
      </c>
      <c r="E413" s="111">
        <v>30000.0</v>
      </c>
      <c r="F413" s="121" t="s">
        <v>966</v>
      </c>
      <c r="G413" s="121"/>
    </row>
    <row r="414" ht="24.75" customHeight="1">
      <c r="A414" s="119" t="s">
        <v>983</v>
      </c>
      <c r="B414" s="96" t="s">
        <v>804</v>
      </c>
      <c r="C414" s="117" t="s">
        <v>956</v>
      </c>
      <c r="D414" s="117" t="s">
        <v>984</v>
      </c>
      <c r="E414" s="113">
        <v>23843.0</v>
      </c>
      <c r="F414" s="120" t="s">
        <v>959</v>
      </c>
      <c r="G414" s="120"/>
    </row>
    <row r="415" ht="24.75" customHeight="1">
      <c r="A415" s="116" t="s">
        <v>985</v>
      </c>
      <c r="B415" s="93" t="s">
        <v>804</v>
      </c>
      <c r="C415" s="117" t="s">
        <v>956</v>
      </c>
      <c r="D415" s="117" t="s">
        <v>986</v>
      </c>
      <c r="E415" s="111">
        <v>34842.0</v>
      </c>
      <c r="F415" s="121" t="s">
        <v>959</v>
      </c>
      <c r="G415" s="121"/>
    </row>
    <row r="416" ht="24.75" customHeight="1">
      <c r="A416" s="119" t="s">
        <v>987</v>
      </c>
      <c r="B416" s="96" t="s">
        <v>804</v>
      </c>
      <c r="C416" s="117" t="s">
        <v>956</v>
      </c>
      <c r="D416" s="117" t="s">
        <v>988</v>
      </c>
      <c r="E416" s="113">
        <v>15153.0</v>
      </c>
      <c r="F416" s="120" t="s">
        <v>959</v>
      </c>
      <c r="G416" s="120"/>
    </row>
    <row r="417" ht="24.75" customHeight="1">
      <c r="A417" s="116" t="s">
        <v>989</v>
      </c>
      <c r="B417" s="93" t="s">
        <v>804</v>
      </c>
      <c r="C417" s="117" t="s">
        <v>956</v>
      </c>
      <c r="D417" s="117" t="s">
        <v>990</v>
      </c>
      <c r="E417" s="111">
        <v>20837.0</v>
      </c>
      <c r="F417" s="121" t="s">
        <v>966</v>
      </c>
      <c r="G417" s="121"/>
    </row>
    <row r="418" ht="24.75" customHeight="1">
      <c r="A418" s="119" t="s">
        <v>991</v>
      </c>
      <c r="B418" s="96" t="s">
        <v>804</v>
      </c>
      <c r="C418" s="117" t="s">
        <v>956</v>
      </c>
      <c r="D418" s="117" t="s">
        <v>992</v>
      </c>
      <c r="E418" s="113">
        <v>31139.0</v>
      </c>
      <c r="F418" s="120" t="s">
        <v>966</v>
      </c>
      <c r="G418" s="120"/>
    </row>
    <row r="419" ht="24.75" customHeight="1">
      <c r="A419" s="116" t="s">
        <v>993</v>
      </c>
      <c r="B419" s="93" t="s">
        <v>804</v>
      </c>
      <c r="C419" s="117" t="s">
        <v>956</v>
      </c>
      <c r="D419" s="117" t="s">
        <v>994</v>
      </c>
      <c r="E419" s="111">
        <v>41553.0</v>
      </c>
      <c r="F419" s="121" t="s">
        <v>966</v>
      </c>
      <c r="G419" s="121"/>
    </row>
    <row r="420" ht="24.75" customHeight="1">
      <c r="A420" s="119" t="s">
        <v>40</v>
      </c>
      <c r="B420" s="96"/>
      <c r="C420" s="96"/>
      <c r="D420" s="117"/>
      <c r="E420" s="113"/>
      <c r="F420" s="120"/>
      <c r="G420" s="120"/>
    </row>
    <row r="421" ht="24.75" customHeight="1">
      <c r="A421" s="116" t="s">
        <v>40</v>
      </c>
      <c r="B421" s="93"/>
      <c r="C421" s="93"/>
      <c r="D421" s="117"/>
      <c r="E421" s="111"/>
      <c r="F421" s="121"/>
      <c r="G421" s="121"/>
    </row>
    <row r="422" ht="24.75" customHeight="1">
      <c r="A422" s="119" t="s">
        <v>40</v>
      </c>
      <c r="B422" s="96" t="s">
        <v>995</v>
      </c>
      <c r="C422" s="96" t="s">
        <v>996</v>
      </c>
      <c r="D422" s="117" t="s">
        <v>996</v>
      </c>
      <c r="E422" s="113"/>
      <c r="F422" s="120"/>
      <c r="G422" s="120"/>
    </row>
    <row r="423" ht="24.75" customHeight="1">
      <c r="A423" s="116"/>
      <c r="B423" s="93"/>
      <c r="C423" s="93"/>
      <c r="D423" s="117"/>
      <c r="E423" s="111"/>
      <c r="F423" s="121"/>
      <c r="G423" s="121"/>
    </row>
    <row r="424" ht="24.75" customHeight="1">
      <c r="A424" s="119"/>
      <c r="B424" s="96"/>
      <c r="C424" s="96"/>
      <c r="D424" s="117"/>
      <c r="E424" s="113"/>
      <c r="F424" s="120"/>
      <c r="G424" s="120"/>
    </row>
    <row r="425" ht="24.75" customHeight="1">
      <c r="A425" s="116"/>
      <c r="B425" s="93"/>
      <c r="C425" s="93"/>
      <c r="D425" s="117"/>
      <c r="E425" s="111"/>
      <c r="F425" s="121"/>
      <c r="G425" s="121"/>
    </row>
    <row r="426" ht="24.75" customHeight="1">
      <c r="A426" s="119"/>
      <c r="B426" s="96"/>
      <c r="C426" s="96"/>
      <c r="D426" s="117"/>
      <c r="E426" s="113"/>
      <c r="F426" s="120"/>
      <c r="G426" s="120"/>
    </row>
    <row r="427" ht="24.75" customHeight="1">
      <c r="A427" s="116"/>
      <c r="B427" s="93"/>
      <c r="C427" s="93"/>
      <c r="D427" s="117"/>
      <c r="E427" s="111"/>
      <c r="F427" s="121"/>
      <c r="G427" s="121"/>
    </row>
    <row r="428" ht="24.75" customHeight="1">
      <c r="A428" s="119"/>
      <c r="B428" s="96"/>
      <c r="C428" s="96"/>
      <c r="D428" s="117"/>
      <c r="E428" s="113"/>
      <c r="F428" s="120"/>
      <c r="G428" s="120"/>
    </row>
    <row r="429" ht="24.75" customHeight="1">
      <c r="A429" s="116"/>
      <c r="B429" s="93"/>
      <c r="C429" s="93"/>
      <c r="D429" s="117"/>
      <c r="E429" s="111"/>
      <c r="F429" s="121"/>
      <c r="G429" s="121"/>
    </row>
    <row r="430" ht="24.75" customHeight="1">
      <c r="A430" s="119"/>
      <c r="B430" s="96"/>
      <c r="C430" s="96"/>
      <c r="D430" s="117"/>
      <c r="E430" s="113"/>
      <c r="F430" s="120"/>
      <c r="G430" s="120"/>
    </row>
    <row r="431" ht="24.75" customHeight="1">
      <c r="A431" s="116"/>
      <c r="B431" s="93"/>
      <c r="C431" s="93"/>
      <c r="D431" s="117"/>
      <c r="E431" s="111"/>
      <c r="F431" s="121"/>
      <c r="G431" s="121"/>
    </row>
    <row r="432" ht="24.75" customHeight="1">
      <c r="A432" s="119"/>
      <c r="B432" s="96"/>
      <c r="C432" s="96"/>
      <c r="D432" s="117"/>
      <c r="E432" s="113"/>
      <c r="F432" s="120"/>
      <c r="G432" s="120"/>
    </row>
    <row r="433" ht="24.75" customHeight="1">
      <c r="A433" s="116"/>
      <c r="B433" s="93"/>
      <c r="C433" s="93"/>
      <c r="D433" s="117"/>
      <c r="E433" s="111"/>
      <c r="F433" s="121"/>
      <c r="G433" s="121"/>
    </row>
    <row r="434" ht="24.75" customHeight="1">
      <c r="A434" s="119"/>
      <c r="B434" s="96"/>
      <c r="C434" s="96"/>
      <c r="D434" s="117"/>
      <c r="E434" s="113"/>
      <c r="F434" s="120"/>
      <c r="G434" s="120"/>
    </row>
    <row r="435" ht="24.75" customHeight="1">
      <c r="A435" s="116"/>
      <c r="B435" s="93"/>
      <c r="C435" s="93"/>
      <c r="D435" s="117"/>
      <c r="E435" s="111"/>
      <c r="F435" s="121"/>
      <c r="G435" s="121"/>
    </row>
    <row r="436" ht="24.75" customHeight="1">
      <c r="A436" s="119"/>
      <c r="B436" s="96"/>
      <c r="C436" s="96"/>
      <c r="D436" s="117"/>
      <c r="E436" s="113"/>
      <c r="F436" s="120"/>
      <c r="G436" s="120"/>
    </row>
    <row r="437" ht="24.75" customHeight="1">
      <c r="A437" s="116"/>
      <c r="B437" s="93"/>
      <c r="C437" s="93"/>
      <c r="D437" s="117"/>
      <c r="E437" s="111"/>
      <c r="F437" s="121"/>
      <c r="G437" s="121"/>
    </row>
    <row r="438" ht="24.75" customHeight="1">
      <c r="A438" s="119"/>
      <c r="B438" s="96"/>
      <c r="C438" s="96"/>
      <c r="D438" s="117"/>
      <c r="E438" s="113"/>
      <c r="F438" s="120"/>
      <c r="G438" s="120"/>
    </row>
    <row r="439" ht="24.75" customHeight="1">
      <c r="A439" s="116"/>
      <c r="B439" s="93"/>
      <c r="C439" s="93"/>
      <c r="D439" s="117"/>
      <c r="E439" s="111"/>
      <c r="F439" s="121"/>
      <c r="G439" s="121"/>
    </row>
    <row r="440" ht="24.75" customHeight="1">
      <c r="A440" s="119"/>
      <c r="B440" s="96"/>
      <c r="C440" s="96"/>
      <c r="D440" s="117"/>
      <c r="E440" s="113"/>
      <c r="F440" s="120"/>
      <c r="G440" s="120"/>
    </row>
    <row r="441" ht="24.75" customHeight="1">
      <c r="A441" s="116"/>
      <c r="B441" s="93"/>
      <c r="C441" s="93"/>
      <c r="D441" s="117"/>
      <c r="E441" s="111"/>
      <c r="F441" s="121"/>
      <c r="G441" s="121"/>
    </row>
    <row r="442" ht="24.75" customHeight="1">
      <c r="A442" s="119"/>
      <c r="B442" s="96"/>
      <c r="C442" s="96"/>
      <c r="D442" s="117"/>
      <c r="E442" s="113"/>
      <c r="F442" s="120"/>
      <c r="G442" s="120"/>
    </row>
    <row r="443" ht="24.75" customHeight="1">
      <c r="A443" s="116"/>
      <c r="B443" s="93"/>
      <c r="C443" s="93"/>
      <c r="D443" s="117"/>
      <c r="E443" s="111"/>
      <c r="F443" s="121"/>
      <c r="G443" s="121"/>
    </row>
    <row r="444" ht="24.75" customHeight="1">
      <c r="A444" s="119"/>
      <c r="B444" s="96"/>
      <c r="C444" s="96"/>
      <c r="D444" s="117"/>
      <c r="E444" s="113"/>
      <c r="F444" s="120"/>
      <c r="G444" s="120"/>
    </row>
    <row r="445" ht="24.75" customHeight="1">
      <c r="A445" s="116"/>
      <c r="B445" s="93"/>
      <c r="C445" s="93"/>
      <c r="D445" s="117"/>
      <c r="E445" s="111"/>
      <c r="F445" s="121"/>
      <c r="G445" s="121"/>
    </row>
    <row r="446" ht="24.75" customHeight="1">
      <c r="A446" s="119"/>
      <c r="B446" s="96"/>
      <c r="C446" s="96"/>
      <c r="D446" s="117"/>
      <c r="E446" s="113"/>
      <c r="F446" s="120"/>
      <c r="G446" s="120"/>
    </row>
    <row r="447" ht="24.75" customHeight="1">
      <c r="A447" s="116"/>
      <c r="B447" s="93"/>
      <c r="C447" s="93"/>
      <c r="D447" s="117"/>
      <c r="E447" s="111"/>
      <c r="F447" s="121"/>
      <c r="G447" s="121"/>
    </row>
    <row r="448" ht="24.75" customHeight="1">
      <c r="A448" s="119"/>
      <c r="B448" s="96"/>
      <c r="C448" s="96"/>
      <c r="D448" s="117"/>
      <c r="E448" s="113"/>
      <c r="F448" s="120"/>
      <c r="G448" s="120"/>
    </row>
    <row r="449" ht="24.75" customHeight="1">
      <c r="A449" s="116"/>
      <c r="B449" s="93"/>
      <c r="C449" s="93"/>
      <c r="D449" s="117"/>
      <c r="E449" s="111"/>
      <c r="F449" s="121"/>
      <c r="G449" s="121"/>
    </row>
    <row r="450" ht="24.75" customHeight="1">
      <c r="A450" s="119"/>
      <c r="B450" s="96"/>
      <c r="C450" s="96"/>
      <c r="D450" s="117"/>
      <c r="E450" s="113"/>
      <c r="F450" s="120"/>
      <c r="G450" s="120"/>
    </row>
    <row r="451" ht="24.75" customHeight="1">
      <c r="A451" s="116"/>
      <c r="B451" s="93"/>
      <c r="C451" s="93"/>
      <c r="D451" s="117"/>
      <c r="E451" s="111"/>
      <c r="F451" s="121"/>
      <c r="G451" s="121"/>
    </row>
    <row r="452" ht="24.75" customHeight="1">
      <c r="A452" s="119"/>
      <c r="B452" s="96"/>
      <c r="C452" s="96"/>
      <c r="D452" s="117"/>
      <c r="E452" s="113"/>
      <c r="F452" s="120"/>
      <c r="G452" s="120"/>
    </row>
    <row r="453" ht="24.75" customHeight="1">
      <c r="A453" s="116"/>
      <c r="B453" s="93"/>
      <c r="C453" s="93"/>
      <c r="D453" s="117"/>
      <c r="E453" s="111"/>
      <c r="F453" s="121"/>
      <c r="G453" s="121"/>
    </row>
    <row r="454" ht="24.75" customHeight="1">
      <c r="A454" s="119"/>
      <c r="B454" s="96"/>
      <c r="C454" s="96"/>
      <c r="D454" s="117"/>
      <c r="E454" s="113"/>
      <c r="F454" s="120"/>
      <c r="G454" s="120"/>
    </row>
    <row r="455" ht="24.75" customHeight="1">
      <c r="A455" s="116"/>
      <c r="B455" s="93"/>
      <c r="C455" s="93"/>
      <c r="D455" s="117"/>
      <c r="E455" s="111"/>
      <c r="F455" s="121"/>
      <c r="G455" s="121"/>
    </row>
    <row r="456" ht="24.75" customHeight="1">
      <c r="A456" s="119"/>
      <c r="B456" s="96"/>
      <c r="C456" s="96"/>
      <c r="D456" s="117"/>
      <c r="E456" s="113"/>
      <c r="F456" s="120"/>
      <c r="G456" s="120"/>
    </row>
    <row r="457" ht="24.75" customHeight="1">
      <c r="A457" s="116"/>
      <c r="B457" s="93"/>
      <c r="C457" s="93"/>
      <c r="D457" s="117"/>
      <c r="E457" s="111"/>
      <c r="F457" s="121"/>
      <c r="G457" s="121"/>
    </row>
    <row r="458" ht="24.75" customHeight="1">
      <c r="A458" s="119"/>
      <c r="B458" s="96"/>
      <c r="C458" s="96"/>
      <c r="D458" s="117"/>
      <c r="E458" s="113"/>
      <c r="F458" s="120"/>
      <c r="G458" s="120"/>
    </row>
    <row r="459" ht="24.75" customHeight="1">
      <c r="A459" s="116"/>
      <c r="B459" s="93"/>
      <c r="C459" s="93"/>
      <c r="D459" s="117"/>
      <c r="E459" s="111"/>
      <c r="F459" s="121"/>
      <c r="G459" s="121"/>
    </row>
    <row r="460" ht="24.75" customHeight="1">
      <c r="A460" s="119"/>
      <c r="B460" s="96"/>
      <c r="C460" s="96"/>
      <c r="D460" s="117"/>
      <c r="E460" s="113"/>
      <c r="F460" s="120"/>
      <c r="G460" s="120"/>
    </row>
    <row r="461" ht="24.75" customHeight="1">
      <c r="A461" s="116"/>
      <c r="B461" s="93"/>
      <c r="C461" s="93"/>
      <c r="D461" s="117"/>
      <c r="E461" s="111"/>
      <c r="F461" s="121"/>
      <c r="G461" s="121"/>
    </row>
    <row r="462" ht="24.75" customHeight="1">
      <c r="A462" s="119"/>
      <c r="B462" s="96"/>
      <c r="C462" s="96"/>
      <c r="D462" s="117"/>
      <c r="E462" s="113"/>
      <c r="F462" s="120"/>
      <c r="G462" s="120"/>
    </row>
    <row r="463" ht="24.75" customHeight="1">
      <c r="A463" s="116"/>
      <c r="B463" s="93"/>
      <c r="C463" s="93"/>
      <c r="D463" s="117"/>
      <c r="E463" s="111"/>
      <c r="F463" s="121"/>
      <c r="G463" s="121"/>
    </row>
    <row r="464" ht="24.75" customHeight="1">
      <c r="A464" s="119"/>
      <c r="B464" s="96"/>
      <c r="C464" s="96"/>
      <c r="D464" s="117"/>
      <c r="E464" s="113"/>
      <c r="F464" s="120"/>
      <c r="G464" s="120"/>
    </row>
    <row r="465" ht="24.75" customHeight="1">
      <c r="A465" s="116"/>
      <c r="B465" s="93"/>
      <c r="C465" s="93"/>
      <c r="D465" s="117"/>
      <c r="E465" s="111"/>
      <c r="F465" s="121"/>
      <c r="G465" s="121"/>
    </row>
    <row r="466" ht="24.75" customHeight="1">
      <c r="A466" s="119"/>
      <c r="B466" s="96"/>
      <c r="C466" s="96"/>
      <c r="D466" s="117"/>
      <c r="E466" s="113"/>
      <c r="F466" s="120"/>
      <c r="G466" s="120"/>
    </row>
    <row r="467" ht="24.75" customHeight="1">
      <c r="A467" s="116"/>
      <c r="B467" s="93"/>
      <c r="C467" s="93"/>
      <c r="D467" s="117"/>
      <c r="E467" s="111"/>
      <c r="F467" s="121"/>
      <c r="G467" s="121"/>
    </row>
    <row r="468" ht="24.75" customHeight="1">
      <c r="A468" s="119"/>
      <c r="B468" s="96"/>
      <c r="C468" s="96"/>
      <c r="D468" s="117"/>
      <c r="E468" s="113"/>
      <c r="F468" s="120"/>
      <c r="G468" s="120"/>
    </row>
    <row r="469" ht="24.75" customHeight="1">
      <c r="A469" s="116"/>
      <c r="B469" s="93"/>
      <c r="C469" s="93"/>
      <c r="D469" s="117"/>
      <c r="E469" s="111"/>
      <c r="F469" s="121"/>
      <c r="G469" s="121"/>
    </row>
    <row r="470" ht="24.75" customHeight="1">
      <c r="A470" s="119"/>
      <c r="B470" s="96"/>
      <c r="C470" s="96"/>
      <c r="D470" s="117"/>
      <c r="E470" s="113"/>
      <c r="F470" s="120"/>
      <c r="G470" s="120"/>
    </row>
    <row r="471" ht="24.75" customHeight="1">
      <c r="A471" s="116"/>
      <c r="B471" s="93"/>
      <c r="C471" s="93"/>
      <c r="D471" s="117"/>
      <c r="E471" s="111"/>
      <c r="F471" s="121"/>
      <c r="G471" s="121"/>
    </row>
    <row r="472" ht="24.75" customHeight="1">
      <c r="A472" s="119"/>
      <c r="B472" s="96"/>
      <c r="C472" s="96"/>
      <c r="D472" s="117"/>
      <c r="E472" s="113"/>
      <c r="F472" s="120"/>
      <c r="G472" s="120"/>
    </row>
    <row r="473" ht="24.75" customHeight="1">
      <c r="A473" s="116"/>
      <c r="B473" s="93"/>
      <c r="C473" s="93"/>
      <c r="D473" s="117"/>
      <c r="E473" s="111"/>
      <c r="F473" s="121"/>
      <c r="G473" s="121"/>
    </row>
    <row r="474" ht="24.75" customHeight="1">
      <c r="A474" s="119"/>
      <c r="B474" s="96"/>
      <c r="C474" s="96"/>
      <c r="D474" s="117"/>
      <c r="E474" s="113"/>
      <c r="F474" s="120"/>
      <c r="G474" s="120"/>
    </row>
    <row r="475" ht="24.75" customHeight="1">
      <c r="A475" s="116"/>
      <c r="B475" s="93"/>
      <c r="C475" s="93"/>
      <c r="D475" s="117"/>
      <c r="E475" s="111"/>
      <c r="F475" s="121"/>
      <c r="G475" s="121"/>
    </row>
    <row r="476" ht="24.75" customHeight="1">
      <c r="A476" s="119"/>
      <c r="B476" s="96"/>
      <c r="C476" s="96"/>
      <c r="D476" s="117"/>
      <c r="E476" s="113"/>
      <c r="F476" s="120"/>
      <c r="G476" s="120"/>
    </row>
    <row r="477" ht="24.75" customHeight="1">
      <c r="A477" s="116"/>
      <c r="B477" s="93"/>
      <c r="C477" s="93"/>
      <c r="D477" s="117"/>
      <c r="E477" s="111"/>
      <c r="F477" s="121"/>
      <c r="G477" s="121"/>
    </row>
    <row r="478" ht="24.75" customHeight="1">
      <c r="A478" s="119"/>
      <c r="B478" s="96"/>
      <c r="C478" s="96"/>
      <c r="D478" s="117"/>
      <c r="E478" s="113"/>
      <c r="F478" s="120"/>
      <c r="G478" s="120"/>
    </row>
    <row r="479" ht="24.75" customHeight="1">
      <c r="A479" s="116"/>
      <c r="B479" s="93"/>
      <c r="C479" s="93"/>
      <c r="D479" s="117"/>
      <c r="E479" s="111"/>
      <c r="F479" s="121"/>
      <c r="G479" s="121"/>
    </row>
    <row r="480" ht="24.75" customHeight="1">
      <c r="A480" s="119"/>
      <c r="B480" s="96"/>
      <c r="C480" s="96"/>
      <c r="D480" s="117"/>
      <c r="E480" s="113"/>
      <c r="F480" s="120"/>
      <c r="G480" s="120"/>
    </row>
    <row r="481" ht="24.75" customHeight="1">
      <c r="A481" s="116"/>
      <c r="B481" s="93"/>
      <c r="C481" s="93"/>
      <c r="D481" s="117"/>
      <c r="E481" s="111"/>
      <c r="F481" s="121"/>
      <c r="G481" s="121"/>
    </row>
    <row r="482" ht="24.75" customHeight="1">
      <c r="A482" s="119"/>
      <c r="B482" s="96"/>
      <c r="C482" s="96"/>
      <c r="D482" s="117"/>
      <c r="E482" s="113"/>
      <c r="F482" s="120"/>
      <c r="G482" s="120"/>
    </row>
    <row r="483" ht="24.75" customHeight="1">
      <c r="A483" s="116"/>
      <c r="B483" s="93"/>
      <c r="C483" s="93"/>
      <c r="D483" s="117"/>
      <c r="E483" s="111"/>
      <c r="F483" s="121"/>
      <c r="G483" s="121"/>
    </row>
    <row r="484" ht="24.75" customHeight="1">
      <c r="A484" s="119"/>
      <c r="B484" s="96"/>
      <c r="C484" s="96"/>
      <c r="D484" s="117"/>
      <c r="E484" s="113"/>
      <c r="F484" s="120"/>
      <c r="G484" s="120"/>
    </row>
    <row r="485" ht="24.75" customHeight="1">
      <c r="A485" s="116"/>
      <c r="B485" s="93"/>
      <c r="C485" s="93"/>
      <c r="D485" s="117"/>
      <c r="E485" s="111"/>
      <c r="F485" s="121"/>
      <c r="G485" s="121"/>
    </row>
    <row r="486" ht="24.75" customHeight="1">
      <c r="A486" s="119"/>
      <c r="B486" s="96"/>
      <c r="C486" s="96"/>
      <c r="D486" s="117"/>
      <c r="E486" s="113"/>
      <c r="F486" s="120"/>
      <c r="G486" s="120"/>
    </row>
    <row r="487" ht="24.75" customHeight="1">
      <c r="A487" s="116"/>
      <c r="B487" s="93"/>
      <c r="C487" s="93"/>
      <c r="D487" s="117"/>
      <c r="E487" s="111"/>
      <c r="F487" s="121"/>
      <c r="G487" s="121"/>
    </row>
    <row r="488" ht="24.75" customHeight="1">
      <c r="A488" s="119"/>
      <c r="B488" s="96"/>
      <c r="C488" s="96"/>
      <c r="D488" s="117"/>
      <c r="E488" s="113"/>
      <c r="F488" s="120"/>
      <c r="G488" s="120"/>
    </row>
    <row r="489" ht="24.75" customHeight="1">
      <c r="A489" s="116"/>
      <c r="B489" s="93"/>
      <c r="C489" s="93"/>
      <c r="D489" s="117"/>
      <c r="E489" s="111"/>
      <c r="F489" s="121"/>
      <c r="G489" s="121"/>
    </row>
    <row r="490" ht="24.75" customHeight="1">
      <c r="A490" s="119"/>
      <c r="B490" s="96"/>
      <c r="C490" s="96"/>
      <c r="D490" s="117"/>
      <c r="E490" s="113"/>
      <c r="F490" s="120"/>
      <c r="G490" s="120"/>
    </row>
    <row r="491" ht="24.75" customHeight="1">
      <c r="A491" s="116"/>
      <c r="B491" s="93"/>
      <c r="C491" s="93"/>
      <c r="D491" s="117"/>
      <c r="E491" s="111"/>
      <c r="F491" s="121"/>
      <c r="G491" s="121"/>
    </row>
    <row r="492" ht="24.75" customHeight="1">
      <c r="A492" s="119"/>
      <c r="B492" s="96"/>
      <c r="C492" s="96"/>
      <c r="D492" s="117"/>
      <c r="E492" s="113"/>
      <c r="F492" s="120"/>
      <c r="G492" s="120"/>
    </row>
    <row r="493" ht="24.75" customHeight="1">
      <c r="A493" s="116"/>
      <c r="B493" s="93"/>
      <c r="C493" s="93"/>
      <c r="D493" s="117"/>
      <c r="E493" s="111"/>
      <c r="F493" s="121"/>
      <c r="G493" s="121"/>
    </row>
    <row r="494" ht="24.75" customHeight="1">
      <c r="A494" s="119"/>
      <c r="B494" s="96"/>
      <c r="C494" s="96"/>
      <c r="D494" s="117"/>
      <c r="E494" s="113"/>
      <c r="F494" s="120"/>
      <c r="G494" s="120"/>
    </row>
    <row r="495" ht="24.75" customHeight="1">
      <c r="A495" s="116"/>
      <c r="B495" s="93"/>
      <c r="C495" s="93"/>
      <c r="D495" s="117"/>
      <c r="E495" s="111"/>
      <c r="F495" s="121"/>
      <c r="G495" s="121"/>
    </row>
    <row r="496" ht="24.75" customHeight="1">
      <c r="A496" s="119"/>
      <c r="B496" s="96"/>
      <c r="C496" s="96"/>
      <c r="D496" s="117"/>
      <c r="E496" s="113"/>
      <c r="F496" s="120"/>
      <c r="G496" s="120"/>
    </row>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325">
    <filterColumn colId="1">
      <filters>
        <filter val="EPAC"/>
      </filters>
    </filterColumn>
  </autoFilter>
  <conditionalFormatting sqref="A1:G1">
    <cfRule type="notContainsBlanks" dxfId="7" priority="1">
      <formula>LEN(TRIM(A1))&gt;0</formula>
    </cfRule>
  </conditionalFormatting>
  <dataValidations>
    <dataValidation type="list" allowBlank="1" sqref="G2:G323">
      <formula1>"SI,NO,---"</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88"/>
    <col customWidth="1" min="2" max="6" width="12.63"/>
  </cols>
  <sheetData>
    <row r="1">
      <c r="A1" s="1" t="str">
        <f>Presupuesto!B15</f>
        <v>Visita de inspeccion   </v>
      </c>
      <c r="B1" s="1" t="str">
        <f>Presupuesto!B16</f>
        <v>Visita de Inspección - Bonificación   </v>
      </c>
      <c r="C1" s="1" t="str">
        <f>Presupuesto!B17</f>
        <v>Recableado (incluye sacar artef, llaves y colocar nueva instalación) por Boca   </v>
      </c>
      <c r="D1" s="1" t="str">
        <f>Presupuesto!B18</f>
        <v>Otros Descuentos 45 % </v>
      </c>
      <c r="E1" s="1" t="str">
        <f>Presupuesto!B19</f>
        <v>   </v>
      </c>
      <c r="F1" s="1" t="str">
        <f>Presupuesto!B20</f>
        <v>   </v>
      </c>
      <c r="G1" s="1" t="str">
        <f>Presupuesto!B21</f>
        <v>   </v>
      </c>
      <c r="H1" s="1" t="str">
        <f>Presupuesto!B22</f>
        <v>   </v>
      </c>
      <c r="I1" s="1" t="str">
        <f>Presupuesto!B23</f>
        <v>   </v>
      </c>
      <c r="J1" s="1" t="str">
        <f>Presupuesto!B24</f>
        <v>   </v>
      </c>
      <c r="K1" s="1" t="str">
        <f>Presupuesto!B25</f>
        <v>   </v>
      </c>
      <c r="L1" s="1" t="str">
        <f>Presupuesto!B26</f>
        <v>   </v>
      </c>
      <c r="M1" s="1" t="str">
        <f>Presupuesto!B27</f>
        <v>   </v>
      </c>
      <c r="N1" s="1" t="str">
        <f>Presupuesto!B28</f>
        <v>   </v>
      </c>
      <c r="O1" s="1" t="str">
        <f>Presupuesto!B29</f>
        <v>   </v>
      </c>
      <c r="P1" s="1" t="str">
        <f>Presupuesto!B30</f>
        <v>   </v>
      </c>
      <c r="Q1" s="1" t="str">
        <f>Presupuesto!B31</f>
        <v>   </v>
      </c>
      <c r="R1" s="1" t="str">
        <f>Presupuesto!B32</f>
        <v>   </v>
      </c>
      <c r="S1" s="1" t="str">
        <f>Presupuesto!B33</f>
        <v>   </v>
      </c>
      <c r="T1" s="1" t="str">
        <f>Presupuesto!B34</f>
        <v>   </v>
      </c>
      <c r="U1" s="1" t="str">
        <f>Presupuesto!B35</f>
        <v>   </v>
      </c>
      <c r="V1" s="1" t="str">
        <f>Presupuesto!B36</f>
        <v>Acometida Trifásica aérea, hasta 10kw con sistema doble aislación   </v>
      </c>
      <c r="W1" s="1" t="str">
        <f>Presupuesto!B37</f>
        <v>Acometida Trifásica de 11 a 35kw   </v>
      </c>
      <c r="X1" s="1" t="str">
        <f>Presupuesto!B38</f>
        <v/>
      </c>
    </row>
    <row r="2">
      <c r="A2" s="1" t="str">
        <f>IFERROR(__xludf.DUMMYFUNCTION("FILTER(Precios!$D$2:$D$574,A1=Precios!$C$2:$C$574,""SI""=Precios!$G2:$G574)"),"#N/A")</f>
        <v>#N/A</v>
      </c>
      <c r="B2" s="1" t="str">
        <f>IFERROR(__xludf.DUMMYFUNCTION("FILTER(Precios!$D$2:$D$574,B1=Precios!$C$2:$C$574,""SI""=Precios!$G2:$G574)"),"#N/A")</f>
        <v>#N/A</v>
      </c>
      <c r="C2" s="1" t="str">
        <f>IFERROR(__xludf.DUMMYFUNCTION("FILTER(Precios!$D$2:$D$574,C1=Precios!$C$2:$C$574,""SI""=Precios!$G2:$G574)"),"#N/A")</f>
        <v>#N/A</v>
      </c>
      <c r="D2" s="1" t="str">
        <f>IFERROR(__xludf.DUMMYFUNCTION("FILTER(Precios!$D$2:$D$574,D1=Precios!$C$2:$C$574,""SI""=Precios!$G2:$G574)"),"#N/A")</f>
        <v>#N/A</v>
      </c>
      <c r="E2" s="1" t="str">
        <f>IFERROR(__xludf.DUMMYFUNCTION("FILTER(Precios!$D$2:$D$574,E1=Precios!$C$2:$C$574,""SI""=Precios!$G2:$G574)"),"#N/A")</f>
        <v>#N/A</v>
      </c>
      <c r="F2" s="1" t="str">
        <f>IFERROR(__xludf.DUMMYFUNCTION("FILTER(Precios!$D$2:$D$574,F1=Precios!$C$2:$C$574,""SI""=Precios!$G2:$G574)"),"#N/A")</f>
        <v>#N/A</v>
      </c>
      <c r="G2" s="1" t="str">
        <f>IFERROR(__xludf.DUMMYFUNCTION("FILTER(Precios!$D$2:$D$574,G1=Precios!$C$2:$C$574,""SI""=Precios!$G2:$G574)"),"#N/A")</f>
        <v>#N/A</v>
      </c>
      <c r="H2" s="1" t="str">
        <f>IFERROR(__xludf.DUMMYFUNCTION("FILTER(Precios!$D$2:$D$574,H1=Precios!$C$2:$C$574,""SI""=Precios!$G2:$G574)"),"#N/A")</f>
        <v>#N/A</v>
      </c>
      <c r="I2" s="1" t="str">
        <f>IFERROR(__xludf.DUMMYFUNCTION("FILTER(Precios!$D$2:$D$574,I1=Precios!$C$2:$C$574,""SI""=Precios!$G2:$G574)"),"#N/A")</f>
        <v>#N/A</v>
      </c>
      <c r="J2" s="1" t="str">
        <f>IFERROR(__xludf.DUMMYFUNCTION("FILTER(Precios!$D$2:$D$574,J1=Precios!$C$2:$C$574,""SI""=Precios!$G2:$G574)"),"#N/A")</f>
        <v>#N/A</v>
      </c>
      <c r="K2" s="1" t="str">
        <f>IFERROR(__xludf.DUMMYFUNCTION("FILTER(Precios!$D$2:$D$574,K1=Precios!$C$2:$C$574,""SI""=Precios!$G2:$G574)"),"#N/A")</f>
        <v>#N/A</v>
      </c>
      <c r="L2" s="1" t="str">
        <f>IFERROR(__xludf.DUMMYFUNCTION("FILTER(Precios!$D$2:$D$574,L1=Precios!$C$2:$C$574,""SI""=Precios!$G2:$G574)"),"#N/A")</f>
        <v>#N/A</v>
      </c>
      <c r="M2" s="1" t="str">
        <f>IFERROR(__xludf.DUMMYFUNCTION("FILTER(Precios!$D$2:$D$574,M1=Precios!$C$2:$C$574,""SI""=Precios!$G2:$G574)"),"#N/A")</f>
        <v>#N/A</v>
      </c>
      <c r="N2" s="1" t="str">
        <f>IFERROR(__xludf.DUMMYFUNCTION("FILTER(Precios!$D$2:$D$574,N1=Precios!$C$2:$C$574,""SI""=Precios!$G2:$G574)"),"#N/A")</f>
        <v>#N/A</v>
      </c>
      <c r="O2" s="1" t="str">
        <f>IFERROR(__xludf.DUMMYFUNCTION("FILTER(Precios!$D$2:$D$574,O1=Precios!$C$2:$C$574,""SI""=Precios!$G2:$G574)"),"#N/A")</f>
        <v>#N/A</v>
      </c>
      <c r="P2" s="1" t="str">
        <f>IFERROR(__xludf.DUMMYFUNCTION("FILTER(Precios!$D$2:$D$574,P1=Precios!$C$2:$C$574,""SI""=Precios!$G2:$G574)"),"#N/A")</f>
        <v>#N/A</v>
      </c>
      <c r="Q2" s="1" t="str">
        <f>IFERROR(__xludf.DUMMYFUNCTION("FILTER(Precios!$D$2:$D$574,Q1=Precios!$C$2:$C$574,""SI""=Precios!$G2:$G574)"),"#N/A")</f>
        <v>#N/A</v>
      </c>
      <c r="R2" s="1" t="str">
        <f>IFERROR(__xludf.DUMMYFUNCTION("FILTER(Precios!$D$2:$D$574,R1=Precios!$C$2:$C$574,""SI""=Precios!$G2:$G574)"),"#N/A")</f>
        <v>#N/A</v>
      </c>
      <c r="S2" s="1" t="str">
        <f>IFERROR(__xludf.DUMMYFUNCTION("FILTER(Precios!$D$2:$D$574,S1=Precios!$C$2:$C$574,""SI""=Precios!$G2:$G574)"),"#N/A")</f>
        <v>#N/A</v>
      </c>
      <c r="T2" s="1" t="str">
        <f>IFERROR(__xludf.DUMMYFUNCTION("FILTER(Precios!$D$2:$D$574,T1=Precios!$C$2:$C$574,""SI""=Precios!$G2:$G574)"),"#N/A")</f>
        <v>#N/A</v>
      </c>
      <c r="U2" s="1" t="str">
        <f>IFERROR(__xludf.DUMMYFUNCTION("FILTER(Precios!$D$2:$D$574,U1=Precios!$C$2:$C$574,""SI""=Precios!$G2:$G574)"),"#N/A")</f>
        <v>#N/A</v>
      </c>
      <c r="V2" s="1" t="str">
        <f>IFERROR(__xludf.DUMMYFUNCTION("FILTER(Precios!$D$2:$D$574,V1=Precios!$C$2:$C$574,""SI""=Precios!$G2:$G574)"),"#N/A")</f>
        <v>#N/A</v>
      </c>
      <c r="W2" s="1" t="str">
        <f>IFERROR(__xludf.DUMMYFUNCTION("FILTER(Precios!$D$2:$D$574,W1=Precios!$C$2:$C$574,""SI""=Precios!$G2:$G574)"),"#N/A")</f>
        <v>#N/A</v>
      </c>
      <c r="X2" s="1" t="str">
        <f>IFERROR(__xludf.DUMMYFUNCTION("FILTER(Precios!$D$2:$D$574,X1=Precios!$C$2:$C$574,""SI""=Precios!$G2:$G574)"),"CANALIZACIÓN EMBUTIDA")</f>
        <v>CANALIZACIÓN EMBUTIDA</v>
      </c>
    </row>
    <row r="3">
      <c r="X3" s="1" t="str">
        <f>IFERROR(__xludf.DUMMYFUNCTION("""COMPUTED_VALUE"""),"CANALIZACIÓN EMBUTIDA EN DURLOCK")</f>
        <v>CANALIZACIÓN EMBUTIDA EN DURLOCK</v>
      </c>
    </row>
    <row r="4">
      <c r="X4" s="1" t="str">
        <f>IFERROR(__xludf.DUMMYFUNCTION("""COMPUTED_VALUE"""),"CANALIZACIÓN EXTERIOR ")</f>
        <v>CANALIZACIÓN EXTERIOR </v>
      </c>
    </row>
    <row r="5">
      <c r="X5" s="1" t="str">
        <f>IFERROR(__xludf.DUMMYFUNCTION("""COMPUTED_VALUE"""),"CANALIZACIÓN DE CABLE CANAL")</f>
        <v>CANALIZACIÓN DE CABLE CANAL</v>
      </c>
    </row>
    <row r="6">
      <c r="X6" s="1" t="str">
        <f>IFERROR(__xludf.DUMMYFUNCTION("""COMPUTED_VALUE"""),"CANALIZACIÓN Y CABLEADO CON PISO DUCTOS / POLIDUCTOS ")</f>
        <v>CANALIZACIÓN Y CABLEADO CON PISO DUCTOS / POLIDUCTOS </v>
      </c>
    </row>
    <row r="7">
      <c r="X7" s="1" t="str">
        <f>IFERROR(__xludf.DUMMYFUNCTION("""COMPUTED_VALUE"""),"CANALIZACIÓN CON BANDEJAS PORTA CABLES Y PERFIL C")</f>
        <v>CANALIZACIÓN CON BANDEJAS PORTA CABLES Y PERFIL C</v>
      </c>
    </row>
    <row r="8">
      <c r="X8" s="1" t="str">
        <f>IFERROR(__xludf.DUMMYFUNCTION("""COMPUTED_VALUE"""),"CABLEADOS EN CAÑERÍAS ")</f>
        <v>CABLEADOS EN CAÑERÍAS </v>
      </c>
    </row>
    <row r="9">
      <c r="X9" s="1" t="str">
        <f>IFERROR(__xludf.DUMMYFUNCTION("""COMPUTED_VALUE"""),"CABLEADO EN BANDEJAS PORTA CABLES ")</f>
        <v>CABLEADO EN BANDEJAS PORTA CABLES </v>
      </c>
    </row>
    <row r="10">
      <c r="X10" s="1" t="str">
        <f>IFERROR(__xludf.DUMMYFUNCTION("""COMPUTED_VALUE"""),"COLOCACIÓN DE INTERRUPTORES, TOMAS, ETC.")</f>
        <v>COLOCACIÓN DE INTERRUPTORES, TOMAS, ETC.</v>
      </c>
    </row>
    <row r="11">
      <c r="X11" s="1" t="str">
        <f>IFERROR(__xludf.DUMMYFUNCTION("""COMPUTED_VALUE"""),"COLOCACIÓN DE ARTEFACTOS")</f>
        <v>COLOCACIÓN DE ARTEFACTOS</v>
      </c>
    </row>
    <row r="12">
      <c r="X12" s="1" t="str">
        <f>IFERROR(__xludf.DUMMYFUNCTION("""COMPUTED_VALUE"""),"COLOCACIÓN DE ELEMENTOS DE PROTECCIÓN Y COMANDO")</f>
        <v>COLOCACIÓN DE ELEMENTOS DE PROTECCIÓN Y COMANDO</v>
      </c>
    </row>
    <row r="13">
      <c r="X13" s="1" t="str">
        <f>IFERROR(__xludf.DUMMYFUNCTION("""COMPUTED_VALUE"""),"TABLERO DE COMANDO DE MOTORES")</f>
        <v>TABLERO DE COMANDO DE MOTORES</v>
      </c>
    </row>
    <row r="14">
      <c r="X14" s="1" t="str">
        <f>IFERROR(__xludf.DUMMYFUNCTION("""COMPUTED_VALUE"""),"EMERGENCIAS ")</f>
        <v>EMERGENCIAS </v>
      </c>
    </row>
    <row r="15">
      <c r="X15" s="1" t="str">
        <f>IFERROR(__xludf.DUMMYFUNCTION("""COMPUTED_VALUE"""),"MANTENIMIENTO DE TABLEROS ELÉCTRICOS E INSTALACIONES ELECTRICAS")</f>
        <v>MANTENIMIENTO DE TABLEROS ELÉCTRICOS E INSTALACIONES ELECTRICAS</v>
      </c>
    </row>
    <row r="16">
      <c r="X16" s="1" t="str">
        <f>IFERROR(__xludf.DUMMYFUNCTION("""COMPUTED_VALUE"""),"VARIOS BAJA TENSIÓN ")</f>
        <v>VARIOS BAJA TENSIÓN </v>
      </c>
    </row>
    <row r="17">
      <c r="X17" s="1" t="str">
        <f>IFERROR(__xludf.DUMMYFUNCTION("""COMPUTED_VALUE"""),"COLOCACIÓN DE PORTERO ELÉCTRICO UNIFAMILIAR")</f>
        <v>COLOCACIÓN DE PORTERO ELÉCTRICO UNIFAMILIAR</v>
      </c>
    </row>
    <row r="18">
      <c r="X18" s="1" t="str">
        <f>IFERROR(__xludf.DUMMYFUNCTION("""COMPUTED_VALUE"""),"COLOCACIÓN DE PORTERO ELÉCTRICO EN EDIFICIO (AUDIO SOLO) MULTIFAMILIAR")</f>
        <v>COLOCACIÓN DE PORTERO ELÉCTRICO EN EDIFICIO (AUDIO SOLO) MULTIFAMILIAR</v>
      </c>
    </row>
    <row r="19">
      <c r="X19" s="1" t="str">
        <f>IFERROR(__xludf.DUMMYFUNCTION("""COMPUTED_VALUE"""),"SISTEMAS DE SEGURIDAD")</f>
        <v>SISTEMAS DE SEGURIDAD</v>
      </c>
    </row>
    <row r="20">
      <c r="X20" s="1" t="str">
        <f>IFERROR(__xludf.DUMMYFUNCTION("""COMPUTED_VALUE"""),"VARIOS CORRIENTES DÉBILES ")</f>
        <v>VARIOS CORRIENTES DÉBILES </v>
      </c>
    </row>
    <row r="21" ht="15.75" customHeight="1">
      <c r="X21" s="1" t="str">
        <f>IFERROR(__xludf.DUMMYFUNCTION("""COMPUTED_VALUE"""),"COMPUESTO DE INSTALACONES EMBUTIDAS")</f>
        <v>COMPUESTO DE INSTALACONES EMBUTIDAS</v>
      </c>
    </row>
    <row r="22" ht="15.75" customHeight="1">
      <c r="X22" s="1" t="str">
        <f>IFERROR(__xludf.DUMMYFUNCTION("""COMPUTED_VALUE"""),"COMPUESTO DE CANALIZACIÓN EXTERIOR ")</f>
        <v>COMPUESTO DE CANALIZACIÓN EXTERIOR </v>
      </c>
    </row>
    <row r="23" ht="15.75" customHeight="1">
      <c r="X23" s="1" t="str">
        <f>IFERROR(__xludf.DUMMYFUNCTION("""COMPUTED_VALUE"""),"COMPUESTO DE INSTALACIONES CON CABLE CANAL")</f>
        <v>COMPUESTO DE INSTALACIONES CON CABLE CANAL</v>
      </c>
    </row>
    <row r="24" ht="15.75" customHeight="1">
      <c r="X24" s="1" t="str">
        <f>IFERROR(__xludf.DUMMYFUNCTION("""COMPUTED_VALUE"""),"COMPUESTO ACOMETIDA")</f>
        <v>COMPUESTO ACOMETIDA</v>
      </c>
    </row>
    <row r="25" ht="15.75" customHeight="1">
      <c r="X25" s="1" t="str">
        <f>IFERROR(__xludf.DUMMYFUNCTION("""COMPUTED_VALUE"""),"PERSONAL CONTRATADO")</f>
        <v>PERSONAL CONTRATADO</v>
      </c>
    </row>
    <row r="26" ht="15.75" customHeight="1">
      <c r="X26" s="1" t="str">
        <f>IFERROR(__xludf.DUMMYFUNCTION("""COMPUTED_VALUE"""),"Nueva Categoría ")</f>
        <v>Nueva Categoría </v>
      </c>
    </row>
    <row r="27" ht="15.75" customHeight="1">
      <c r="X27" s="1" t="str">
        <f>IFERROR(__xludf.DUMMYFUNCTION("""COMPUTED_VALUE"""),"PURIFICACION (EI)")</f>
        <v>PURIFICACION (EI)</v>
      </c>
    </row>
    <row r="28" ht="15.75" customHeight="1">
      <c r="X28" s="1" t="str">
        <f>IFERROR(__xludf.DUMMYFUNCTION("""COMPUTED_VALUE"""),"ELECTROINSTALADOR (Otros)")</f>
        <v>ELECTROINSTALADOR (Otros)</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showGridLines="0" workbookViewId="0"/>
  </sheetViews>
  <sheetFormatPr customHeight="1" defaultColWidth="12.63" defaultRowHeight="15.0"/>
  <cols>
    <col customWidth="1" min="1" max="1" width="6.13"/>
    <col customWidth="1" min="2" max="2" width="3.38"/>
    <col customWidth="1" min="3" max="3" width="6.63"/>
    <col customWidth="1" min="4" max="5" width="0.88"/>
    <col customWidth="1" min="6" max="6" width="18.0"/>
    <col customWidth="1" min="7" max="7" width="32.0"/>
    <col customWidth="1" min="8" max="8" width="3.75"/>
    <col customWidth="1" min="9" max="9" width="6.0"/>
    <col customWidth="1" min="10" max="10" width="1.0"/>
    <col customWidth="1" min="11" max="11" width="7.13"/>
    <col customWidth="1" min="12" max="12" width="12.38"/>
  </cols>
  <sheetData>
    <row r="1" ht="19.5" customHeight="1">
      <c r="A1" s="68" t="s">
        <v>270</v>
      </c>
      <c r="H1" s="69"/>
      <c r="I1" s="69"/>
      <c r="J1" s="69"/>
      <c r="K1" s="69"/>
      <c r="L1" s="69"/>
    </row>
    <row r="2" ht="12.0" customHeight="1">
      <c r="A2" s="70" t="s">
        <v>275</v>
      </c>
      <c r="D2" s="71"/>
      <c r="E2" s="72"/>
      <c r="F2" s="73" t="str">
        <f>IFERROR(UPPER(CONCATENATE(LEFT(F6,2),MID(F6,SEARCH(" ",F6)+1,1),"-",TEXT(F4,"DD"),TEXT(F4,"MM"))), "")</f>
        <v>PEM-1402</v>
      </c>
      <c r="H2" s="69"/>
      <c r="I2" s="69"/>
      <c r="J2" s="69"/>
      <c r="K2" s="69"/>
      <c r="L2" s="69"/>
    </row>
    <row r="3" ht="6.0" customHeight="1">
      <c r="A3" s="74"/>
      <c r="B3" s="74"/>
      <c r="C3" s="74"/>
      <c r="D3" s="75"/>
      <c r="E3" s="69"/>
      <c r="F3" s="74"/>
      <c r="G3" s="74"/>
      <c r="H3" s="74"/>
      <c r="I3" s="69"/>
      <c r="J3" s="69"/>
      <c r="K3" s="69"/>
      <c r="L3" s="69"/>
    </row>
    <row r="4" ht="12.0" customHeight="1">
      <c r="A4" s="70" t="s">
        <v>289</v>
      </c>
      <c r="D4" s="71"/>
      <c r="E4" s="72"/>
      <c r="F4" s="76">
        <f>Carga!B2</f>
        <v>46067</v>
      </c>
      <c r="H4" s="69"/>
      <c r="I4" s="69"/>
      <c r="J4" s="69"/>
      <c r="K4" s="69"/>
      <c r="L4" s="69"/>
    </row>
    <row r="5" ht="6.0" customHeight="1">
      <c r="A5" s="74"/>
      <c r="B5" s="74"/>
      <c r="C5" s="74"/>
      <c r="D5" s="75"/>
      <c r="E5" s="69"/>
      <c r="F5" s="74"/>
      <c r="G5" s="74"/>
      <c r="H5" s="69"/>
      <c r="I5" s="69"/>
      <c r="J5" s="69"/>
      <c r="K5" s="69"/>
      <c r="L5" s="69"/>
    </row>
    <row r="6" ht="12.0" customHeight="1">
      <c r="A6" s="70" t="s">
        <v>299</v>
      </c>
      <c r="D6" s="71"/>
      <c r="E6" s="72"/>
      <c r="F6" s="73" t="str">
        <f>Carga!B3</f>
        <v>Pepito monje</v>
      </c>
      <c r="H6" s="69"/>
      <c r="I6" s="69"/>
      <c r="J6" s="69"/>
      <c r="K6" s="69"/>
      <c r="L6" s="69"/>
    </row>
    <row r="7" ht="5.25" customHeight="1">
      <c r="A7" s="74"/>
      <c r="B7" s="74"/>
      <c r="C7" s="74"/>
      <c r="D7" s="75"/>
      <c r="E7" s="69"/>
      <c r="F7" s="74"/>
      <c r="G7" s="74"/>
      <c r="H7" s="69"/>
      <c r="I7" s="69"/>
      <c r="J7" s="69"/>
      <c r="K7" s="69"/>
      <c r="L7" s="69"/>
    </row>
    <row r="8" ht="12.0" customHeight="1">
      <c r="A8" s="70" t="s">
        <v>306</v>
      </c>
      <c r="D8" s="71"/>
      <c r="E8" s="72"/>
      <c r="F8" s="73" t="str">
        <f>Carga!B4</f>
        <v>Guntanamera 1020</v>
      </c>
      <c r="H8" s="69"/>
      <c r="I8" s="69"/>
      <c r="J8" s="69"/>
      <c r="K8" s="69"/>
      <c r="L8" s="69"/>
    </row>
    <row r="9" ht="9.75" customHeight="1">
      <c r="A9" s="69"/>
      <c r="B9" s="69"/>
      <c r="C9" s="69"/>
      <c r="D9" s="69"/>
      <c r="E9" s="69"/>
      <c r="F9" s="69"/>
      <c r="G9" s="69"/>
      <c r="H9" s="69"/>
      <c r="I9" s="69"/>
      <c r="J9" s="69"/>
      <c r="K9" s="69"/>
      <c r="L9" s="69"/>
    </row>
    <row r="10" ht="9.75" customHeight="1">
      <c r="A10" s="69"/>
      <c r="B10" s="69"/>
      <c r="C10" s="69"/>
      <c r="D10" s="69"/>
      <c r="E10" s="69"/>
      <c r="F10" s="69"/>
      <c r="G10" s="69"/>
      <c r="H10" s="69"/>
      <c r="I10" s="69"/>
      <c r="J10" s="69"/>
      <c r="K10" s="69"/>
      <c r="L10" s="69"/>
    </row>
    <row r="11" ht="8.25" customHeight="1">
      <c r="A11" s="69"/>
      <c r="B11" s="69"/>
      <c r="C11" s="69"/>
      <c r="D11" s="69"/>
      <c r="E11" s="69"/>
      <c r="F11" s="69"/>
      <c r="G11" s="69"/>
      <c r="H11" s="69"/>
      <c r="I11" s="69"/>
      <c r="J11" s="69"/>
      <c r="K11" s="69"/>
      <c r="L11" s="69"/>
    </row>
    <row r="12" ht="24.0" customHeight="1">
      <c r="A12" s="77" t="s">
        <v>41</v>
      </c>
      <c r="B12" s="78"/>
      <c r="C12" s="79" t="s">
        <v>17</v>
      </c>
      <c r="D12" s="80"/>
      <c r="E12" s="80"/>
      <c r="F12" s="80"/>
      <c r="G12" s="80"/>
      <c r="H12" s="81" t="s">
        <v>1</v>
      </c>
      <c r="I12" s="80"/>
      <c r="J12" s="82"/>
      <c r="K12" s="83" t="s">
        <v>19</v>
      </c>
      <c r="L12" s="83" t="s">
        <v>319</v>
      </c>
    </row>
    <row r="13" ht="9.0" customHeight="1">
      <c r="A13" s="84"/>
      <c r="B13" s="84"/>
      <c r="C13" s="85"/>
      <c r="D13" s="85"/>
      <c r="E13" s="85"/>
      <c r="F13" s="85"/>
      <c r="G13" s="85"/>
      <c r="H13" s="86"/>
      <c r="I13" s="86"/>
      <c r="J13" s="86"/>
      <c r="K13" s="87"/>
      <c r="L13" s="87"/>
    </row>
    <row r="14" ht="12.75" customHeight="1">
      <c r="A14" s="88"/>
      <c r="B14" s="88"/>
      <c r="C14" s="88"/>
      <c r="D14" s="88"/>
      <c r="E14" s="88"/>
      <c r="F14" s="88"/>
      <c r="G14" s="88"/>
      <c r="H14" s="88"/>
      <c r="I14" s="88"/>
      <c r="J14" s="88"/>
      <c r="K14" s="88"/>
      <c r="L14" s="88"/>
    </row>
    <row r="15" ht="20.25" customHeight="1">
      <c r="A15" s="89" t="str">
        <f>IFERROR(VLOOKUP(Carga!B8,Precios!D:F,5,0), "")</f>
        <v/>
      </c>
      <c r="B15" s="94" t="str">
        <f>CONCATENATE(Carga!B8," ",Carga!C8," ",Carga!D8," ",Carga!E8)</f>
        <v>Visita de inspeccion   </v>
      </c>
      <c r="H15" s="95">
        <f>Carga!F8</f>
        <v>1</v>
      </c>
      <c r="I15" s="95" t="str">
        <f>IFERROR(VLOOKUP(Carga!B8,Precios!D:F,4,0), "")</f>
        <v/>
      </c>
      <c r="J15" s="95"/>
      <c r="K15" s="97" t="str">
        <f>IFERROR(VLOOKUP(Carga!B8,Precios!D:E,2,0), "")</f>
        <v/>
      </c>
      <c r="L15" s="97" t="str">
        <f>Carga!M8</f>
        <v/>
      </c>
    </row>
    <row r="16" ht="20.25" customHeight="1">
      <c r="A16" s="89" t="str">
        <f>IFERROR(VLOOKUP(Carga!B9,Precios!D:F,5,0), "")</f>
        <v/>
      </c>
      <c r="B16" s="94" t="str">
        <f>CONCATENATE(Carga!B9," ",Carga!C9," ",Carga!D9," ",Carga!E9)</f>
        <v>Visita de Inspección - Bonificación   </v>
      </c>
      <c r="H16" s="95">
        <f>Carga!F9</f>
        <v>1</v>
      </c>
      <c r="I16" s="95" t="str">
        <f>IFERROR(VLOOKUP(Carga!B9,Precios!D:F,4,0), "")</f>
        <v/>
      </c>
      <c r="J16" s="95"/>
      <c r="K16" s="97" t="str">
        <f>IFERROR(VLOOKUP(Carga!B9,Precios!D:E,2,0), "")</f>
        <v/>
      </c>
      <c r="L16" s="97" t="str">
        <f>Carga!M9</f>
        <v/>
      </c>
    </row>
    <row r="17" ht="20.25" customHeight="1">
      <c r="A17" s="89" t="str">
        <f>IFERROR(VLOOKUP(Carga!B10,Precios!D:F,5,0), "")</f>
        <v/>
      </c>
      <c r="B17" s="94" t="str">
        <f>CONCATENATE(Carga!B10," ",Carga!C10," ",Carga!D10," ",Carga!E10)</f>
        <v>Recableado (incluye sacar artef, llaves y colocar nueva instalación) por Boca   </v>
      </c>
      <c r="H17" s="95">
        <f>Carga!F10</f>
        <v>1</v>
      </c>
      <c r="I17" s="95" t="str">
        <f>IFERROR(VLOOKUP(Carga!B10,Precios!D:F,4,0), "")</f>
        <v/>
      </c>
      <c r="J17" s="95"/>
      <c r="K17" s="97">
        <f>IFERROR(VLOOKUP(Carga!B10,Precios!D:E,2,0), "")</f>
        <v>56500</v>
      </c>
      <c r="L17" s="97">
        <f>Carga!M10</f>
        <v>56500</v>
      </c>
    </row>
    <row r="18" ht="20.25" customHeight="1">
      <c r="A18" s="89" t="str">
        <f>IFERROR(VLOOKUP(Carga!B11,Precios!D:F,5,0), "")</f>
        <v/>
      </c>
      <c r="B18" s="94" t="str">
        <f>CONCATENATE(Carga!B11," ",Carga!C11," ",Carga!D11," ",Carga!E11)</f>
        <v>Otros Descuentos 45 % </v>
      </c>
      <c r="H18" s="95" t="str">
        <f>Carga!F11</f>
        <v/>
      </c>
      <c r="I18" s="95" t="str">
        <f>IFERROR(VLOOKUP(Carga!B11,Precios!D:F,4,0), "")</f>
        <v/>
      </c>
      <c r="J18" s="95"/>
      <c r="K18" s="97" t="str">
        <f>IFERROR(VLOOKUP(Carga!B11,Precios!D:E,2,0), "")</f>
        <v/>
      </c>
      <c r="L18" s="97">
        <f>Carga!M11</f>
        <v>-155475</v>
      </c>
    </row>
    <row r="19" ht="20.25" customHeight="1">
      <c r="A19" s="89" t="str">
        <f>IFERROR(VLOOKUP(Carga!B12,Precios!D:F,5,0), "")</f>
        <v/>
      </c>
      <c r="B19" s="94" t="str">
        <f>CONCATENATE(Carga!B12," ",Carga!C12," ",Carga!D12," ",Carga!E12)</f>
        <v>   </v>
      </c>
      <c r="H19" s="95" t="str">
        <f>Carga!F12</f>
        <v/>
      </c>
      <c r="I19" s="95" t="str">
        <f>IFERROR(VLOOKUP(Carga!B12,Precios!D:F,4,0), "")</f>
        <v/>
      </c>
      <c r="J19" s="95"/>
      <c r="K19" s="97" t="str">
        <f>IFERROR(VLOOKUP(Carga!B12,Precios!D:E,2,0), "")</f>
        <v/>
      </c>
      <c r="L19" s="97" t="str">
        <f>Carga!M12</f>
        <v/>
      </c>
    </row>
    <row r="20" ht="20.25" customHeight="1">
      <c r="A20" s="89" t="str">
        <f>IFERROR(VLOOKUP(Carga!B13,Precios!D:F,5,0), "")</f>
        <v/>
      </c>
      <c r="B20" s="94" t="str">
        <f>CONCATENATE(Carga!B13," ",Carga!C13," ",Carga!D13," ",Carga!E13)</f>
        <v>   </v>
      </c>
      <c r="H20" s="95" t="str">
        <f>Carga!F13</f>
        <v/>
      </c>
      <c r="I20" s="95" t="str">
        <f>IFERROR(VLOOKUP(Carga!B13,Precios!D:F,4,0), "")</f>
        <v/>
      </c>
      <c r="J20" s="95"/>
      <c r="K20" s="97" t="str">
        <f>IFERROR(VLOOKUP(Carga!B13,Precios!D:E,2,0), "")</f>
        <v/>
      </c>
      <c r="L20" s="97" t="str">
        <f>Carga!M13</f>
        <v/>
      </c>
    </row>
    <row r="21" ht="20.25" customHeight="1">
      <c r="A21" s="89" t="str">
        <f>IFERROR(VLOOKUP(Carga!B14,Precios!D:F,5,0), "")</f>
        <v/>
      </c>
      <c r="B21" s="94" t="str">
        <f>CONCATENATE(Carga!B14," ",Carga!C14," ",Carga!D14," ",Carga!E14)</f>
        <v>   </v>
      </c>
      <c r="H21" s="95" t="str">
        <f>Carga!F14</f>
        <v/>
      </c>
      <c r="I21" s="95" t="str">
        <f>IFERROR(VLOOKUP(Carga!B14,Precios!D:F,4,0), "")</f>
        <v/>
      </c>
      <c r="J21" s="95"/>
      <c r="K21" s="97" t="str">
        <f>IFERROR(VLOOKUP(Carga!B14,Precios!D:E,2,0), "")</f>
        <v/>
      </c>
      <c r="L21" s="97" t="str">
        <f>Carga!M14</f>
        <v/>
      </c>
    </row>
    <row r="22" ht="20.25" customHeight="1">
      <c r="A22" s="89" t="str">
        <f>IFERROR(VLOOKUP(Carga!B15,Precios!D:F,5,0), "")</f>
        <v/>
      </c>
      <c r="B22" s="94" t="str">
        <f>CONCATENATE(Carga!B15," ",Carga!C15," ",Carga!D15," ",Carga!E15)</f>
        <v>   </v>
      </c>
      <c r="H22" s="95" t="str">
        <f>Carga!F15</f>
        <v/>
      </c>
      <c r="I22" s="95" t="str">
        <f>IFERROR(VLOOKUP(Carga!B15,Precios!D:F,4,0), "")</f>
        <v/>
      </c>
      <c r="J22" s="95"/>
      <c r="K22" s="97" t="str">
        <f>IFERROR(VLOOKUP(Carga!B15,Precios!D:E,2,0), "")</f>
        <v/>
      </c>
      <c r="L22" s="97" t="str">
        <f>Carga!M15</f>
        <v/>
      </c>
    </row>
    <row r="23" ht="20.25" customHeight="1">
      <c r="A23" s="89" t="str">
        <f>IFERROR(VLOOKUP(Carga!B16,Precios!D:F,5,0), "")</f>
        <v/>
      </c>
      <c r="B23" s="94" t="str">
        <f>CONCATENATE(Carga!B16," ",Carga!C16," ",Carga!D16," ",Carga!E16)</f>
        <v>   </v>
      </c>
      <c r="H23" s="95" t="str">
        <f>Carga!F16</f>
        <v/>
      </c>
      <c r="I23" s="95" t="str">
        <f>IFERROR(VLOOKUP(Carga!B16,Precios!D:F,4,0), "")</f>
        <v/>
      </c>
      <c r="J23" s="95"/>
      <c r="K23" s="97" t="str">
        <f>IFERROR(VLOOKUP(Carga!B16,Precios!D:E,2,0), "")</f>
        <v/>
      </c>
      <c r="L23" s="97" t="str">
        <f>Carga!M16</f>
        <v/>
      </c>
    </row>
    <row r="24" ht="20.25" customHeight="1">
      <c r="A24" s="89" t="str">
        <f>IFERROR(VLOOKUP(Carga!B17,Precios!D:F,5,0), "")</f>
        <v/>
      </c>
      <c r="B24" s="94" t="str">
        <f>CONCATENATE(Carga!B17," ",Carga!C17," ",Carga!D17," ",Carga!E17)</f>
        <v>   </v>
      </c>
      <c r="H24" s="95" t="str">
        <f>Carga!F17</f>
        <v/>
      </c>
      <c r="I24" s="95" t="str">
        <f>IFERROR(VLOOKUP(Carga!B17,Precios!D:F,4,0), "")</f>
        <v/>
      </c>
      <c r="J24" s="95"/>
      <c r="K24" s="97" t="str">
        <f>IFERROR(VLOOKUP(Carga!B17,Precios!D:E,2,0), "")</f>
        <v/>
      </c>
      <c r="L24" s="97" t="str">
        <f>Carga!M17</f>
        <v/>
      </c>
    </row>
    <row r="25" ht="20.25" customHeight="1">
      <c r="A25" s="89" t="str">
        <f>IFERROR(VLOOKUP(Carga!B18,Precios!D:F,5,0), "")</f>
        <v/>
      </c>
      <c r="B25" s="94" t="str">
        <f>CONCATENATE(Carga!B18," ",Carga!C18," ",Carga!D18," ",Carga!E18)</f>
        <v>   </v>
      </c>
      <c r="H25" s="95" t="str">
        <f>Carga!F18</f>
        <v/>
      </c>
      <c r="I25" s="95" t="str">
        <f>IFERROR(VLOOKUP(Carga!B18,Precios!D:F,4,0), "")</f>
        <v/>
      </c>
      <c r="J25" s="95"/>
      <c r="K25" s="97" t="str">
        <f>IFERROR(VLOOKUP(Carga!B18,Precios!D:E,2,0), "")</f>
        <v/>
      </c>
      <c r="L25" s="97" t="str">
        <f>Carga!M18</f>
        <v/>
      </c>
    </row>
    <row r="26" ht="20.25" customHeight="1">
      <c r="A26" s="89" t="str">
        <f>IFERROR(VLOOKUP(Carga!B19,Precios!D:F,5,0), "")</f>
        <v/>
      </c>
      <c r="B26" s="94" t="str">
        <f>CONCATENATE(Carga!B19," ",Carga!C19," ",Carga!D19," ",Carga!E19)</f>
        <v>   </v>
      </c>
      <c r="H26" s="95" t="str">
        <f>Carga!F19</f>
        <v/>
      </c>
      <c r="I26" s="95" t="str">
        <f>IFERROR(VLOOKUP(Carga!B19,Precios!D:F,4,0), "")</f>
        <v/>
      </c>
      <c r="J26" s="95"/>
      <c r="K26" s="97" t="str">
        <f>IFERROR(VLOOKUP(Carga!B19,Precios!D:E,2,0), "")</f>
        <v/>
      </c>
      <c r="L26" s="97" t="str">
        <f>Carga!M19</f>
        <v/>
      </c>
    </row>
    <row r="27" ht="20.25" customHeight="1">
      <c r="A27" s="89" t="str">
        <f>IFERROR(VLOOKUP(Carga!B20,Precios!D:F,5,0), "")</f>
        <v/>
      </c>
      <c r="B27" s="94" t="str">
        <f>CONCATENATE(Carga!B20," ",Carga!C20," ",Carga!D20," ",Carga!E20)</f>
        <v>   </v>
      </c>
      <c r="H27" s="95" t="str">
        <f>Carga!F20</f>
        <v/>
      </c>
      <c r="I27" s="95" t="str">
        <f>IFERROR(VLOOKUP(Carga!B20,Precios!D:F,4,0), "")</f>
        <v/>
      </c>
      <c r="J27" s="95"/>
      <c r="K27" s="97" t="str">
        <f>IFERROR(VLOOKUP(Carga!B20,Precios!D:E,2,0), "")</f>
        <v/>
      </c>
      <c r="L27" s="97" t="str">
        <f>Carga!M20</f>
        <v/>
      </c>
    </row>
    <row r="28" ht="20.25" customHeight="1">
      <c r="A28" s="89" t="str">
        <f>IFERROR(VLOOKUP(Carga!B21,Precios!D:F,5,0), "")</f>
        <v/>
      </c>
      <c r="B28" s="94" t="str">
        <f>CONCATENATE(Carga!B21," ",Carga!C21," ",Carga!D21," ",Carga!E21)</f>
        <v>   </v>
      </c>
      <c r="H28" s="95" t="str">
        <f>Carga!F21</f>
        <v/>
      </c>
      <c r="I28" s="95" t="str">
        <f>IFERROR(VLOOKUP(Carga!B21,Precios!D:F,4,0), "")</f>
        <v/>
      </c>
      <c r="J28" s="95"/>
      <c r="K28" s="97" t="str">
        <f>IFERROR(VLOOKUP(Carga!B21,Precios!D:E,2,0), "")</f>
        <v/>
      </c>
      <c r="L28" s="97" t="str">
        <f>Carga!M21</f>
        <v/>
      </c>
    </row>
    <row r="29" ht="20.25" customHeight="1">
      <c r="A29" s="89" t="str">
        <f>IFERROR(VLOOKUP(Carga!B22,Precios!D:F,5,0), "")</f>
        <v/>
      </c>
      <c r="B29" s="94" t="str">
        <f>CONCATENATE(Carga!B22," ",Carga!C22," ",Carga!D22," ",Carga!E22)</f>
        <v>   </v>
      </c>
      <c r="H29" s="95" t="str">
        <f>Carga!F22</f>
        <v/>
      </c>
      <c r="I29" s="95" t="str">
        <f>IFERROR(VLOOKUP(Carga!B22,Precios!D:F,4,0), "")</f>
        <v/>
      </c>
      <c r="J29" s="95"/>
      <c r="K29" s="97" t="str">
        <f>IFERROR(VLOOKUP(Carga!B22,Precios!D:E,2,0), "")</f>
        <v/>
      </c>
      <c r="L29" s="97" t="str">
        <f>Carga!M22</f>
        <v/>
      </c>
    </row>
    <row r="30" ht="20.25" customHeight="1">
      <c r="A30" s="89" t="str">
        <f>IFERROR(VLOOKUP(Carga!B23,Precios!D:F,5,0), "")</f>
        <v/>
      </c>
      <c r="B30" s="94" t="str">
        <f>CONCATENATE(Carga!B23," ",Carga!C23," ",Carga!D23," ",Carga!E23)</f>
        <v>   </v>
      </c>
      <c r="H30" s="95" t="str">
        <f>Carga!F23</f>
        <v/>
      </c>
      <c r="I30" s="95" t="str">
        <f>IFERROR(VLOOKUP(Carga!B23,Precios!D:F,4,0), "")</f>
        <v/>
      </c>
      <c r="J30" s="95"/>
      <c r="K30" s="97" t="str">
        <f>IFERROR(VLOOKUP(Carga!B23,Precios!D:E,2,0), "")</f>
        <v/>
      </c>
      <c r="L30" s="97" t="str">
        <f>Carga!M23</f>
        <v/>
      </c>
    </row>
    <row r="31" ht="20.25" customHeight="1">
      <c r="A31" s="89" t="str">
        <f>IFERROR(VLOOKUP(Carga!B24,Precios!D:F,5,0), "")</f>
        <v/>
      </c>
      <c r="B31" s="94" t="str">
        <f>CONCATENATE(Carga!B24," ",Carga!C24," ",Carga!D24," ",Carga!E24)</f>
        <v>   </v>
      </c>
      <c r="H31" s="95" t="str">
        <f>Carga!F24</f>
        <v/>
      </c>
      <c r="I31" s="95" t="str">
        <f>IFERROR(VLOOKUP(Carga!B24,Precios!D:F,4,0), "")</f>
        <v/>
      </c>
      <c r="J31" s="95"/>
      <c r="K31" s="97" t="str">
        <f>IFERROR(VLOOKUP(Carga!B24,Precios!D:E,2,0), "")</f>
        <v/>
      </c>
      <c r="L31" s="97" t="str">
        <f>Carga!M24</f>
        <v/>
      </c>
    </row>
    <row r="32" ht="20.25" customHeight="1">
      <c r="A32" s="89" t="str">
        <f>IFERROR(VLOOKUP(Carga!B25,Precios!D:F,5,0), "")</f>
        <v/>
      </c>
      <c r="B32" s="94" t="str">
        <f>CONCATENATE(Carga!B25," ",Carga!C25," ",Carga!D25," ",Carga!E25)</f>
        <v>   </v>
      </c>
      <c r="H32" s="95" t="str">
        <f>Carga!F25</f>
        <v/>
      </c>
      <c r="I32" s="95" t="str">
        <f>IFERROR(VLOOKUP(Carga!B25,Precios!D:F,4,0), "")</f>
        <v/>
      </c>
      <c r="J32" s="95"/>
      <c r="K32" s="97" t="str">
        <f>IFERROR(VLOOKUP(Carga!B25,Precios!D:E,2,0), "")</f>
        <v/>
      </c>
      <c r="L32" s="97" t="str">
        <f>Carga!M25</f>
        <v/>
      </c>
    </row>
    <row r="33" ht="20.25" customHeight="1">
      <c r="A33" s="89" t="str">
        <f>IFERROR(VLOOKUP(Carga!B26,Precios!D:F,5,0), "")</f>
        <v/>
      </c>
      <c r="B33" s="94" t="str">
        <f>CONCATENATE(Carga!B26," ",Carga!C26," ",Carga!D26," ",Carga!E26)</f>
        <v>   </v>
      </c>
      <c r="H33" s="95" t="str">
        <f>Carga!F26</f>
        <v/>
      </c>
      <c r="I33" s="95" t="str">
        <f>IFERROR(VLOOKUP(Carga!B26,Precios!D:F,4,0), "")</f>
        <v/>
      </c>
      <c r="J33" s="95"/>
      <c r="K33" s="97" t="str">
        <f>IFERROR(VLOOKUP(Carga!B26,Precios!D:E,2,0), "")</f>
        <v/>
      </c>
      <c r="L33" s="97" t="str">
        <f>Carga!M26</f>
        <v/>
      </c>
    </row>
    <row r="34" ht="20.25" customHeight="1">
      <c r="A34" s="89" t="str">
        <f>IFERROR(VLOOKUP(Carga!B27,Precios!D:F,5,0), "")</f>
        <v/>
      </c>
      <c r="B34" s="94" t="str">
        <f>CONCATENATE(Carga!B27," ",Carga!C27," ",Carga!D27," ",Carga!E27)</f>
        <v>   </v>
      </c>
      <c r="H34" s="95" t="str">
        <f>Carga!F27</f>
        <v/>
      </c>
      <c r="I34" s="95" t="str">
        <f>IFERROR(VLOOKUP(Carga!B27,Precios!D:F,4,0), "")</f>
        <v/>
      </c>
      <c r="J34" s="95"/>
      <c r="K34" s="97" t="str">
        <f>IFERROR(VLOOKUP(Carga!B27,Precios!D:E,2,0), "")</f>
        <v/>
      </c>
      <c r="L34" s="97" t="str">
        <f>Carga!M27</f>
        <v/>
      </c>
    </row>
    <row r="35" ht="20.25" customHeight="1">
      <c r="A35" s="89" t="str">
        <f>IFERROR(VLOOKUP(Carga!B28,Precios!D:F,5,0), "")</f>
        <v/>
      </c>
      <c r="B35" s="94" t="str">
        <f>CONCATENATE(Carga!B28," ",Carga!C28," ",Carga!D28," ",Carga!E28)</f>
        <v>   </v>
      </c>
      <c r="H35" s="95" t="str">
        <f>Carga!F28</f>
        <v/>
      </c>
      <c r="I35" s="95" t="str">
        <f>IFERROR(VLOOKUP(Carga!B28,Precios!D:F,4,0), "")</f>
        <v/>
      </c>
      <c r="J35" s="95"/>
      <c r="K35" s="97" t="str">
        <f>IFERROR(VLOOKUP(Carga!B28,Precios!D:E,2,0), "")</f>
        <v/>
      </c>
      <c r="L35" s="97" t="str">
        <f>Carga!M28</f>
        <v/>
      </c>
    </row>
    <row r="36" ht="20.25" customHeight="1">
      <c r="A36" s="89" t="str">
        <f>IFERROR(VLOOKUP(Carga!B29,Precios!D:F,5,0), "")</f>
        <v/>
      </c>
      <c r="B36" s="94" t="str">
        <f>CONCATENATE(Carga!B29," ",Carga!C29," ",Carga!D29," ",Carga!E29)</f>
        <v>Acometida Trifásica aérea, hasta 10kw con sistema doble aislación   </v>
      </c>
      <c r="H36" s="95" t="str">
        <f>Carga!F29</f>
        <v/>
      </c>
      <c r="I36" s="104" t="str">
        <f>IFERROR(VLOOKUP(Carga!B29,Precios!D:F,4,0), "")</f>
        <v/>
      </c>
      <c r="J36" s="95"/>
      <c r="K36" s="97">
        <f>IFERROR(VLOOKUP(Carga!B29,Precios!D:E,2,0), "")</f>
        <v>222000</v>
      </c>
      <c r="L36" s="97" t="str">
        <f>Carga!M29</f>
        <v/>
      </c>
    </row>
    <row r="37" ht="20.25" customHeight="1">
      <c r="A37" s="89" t="str">
        <f>IFERROR(VLOOKUP(Carga!B30,Precios!D:F,5,0), "")</f>
        <v/>
      </c>
      <c r="B37" s="94" t="str">
        <f>CONCATENATE(Carga!B30," ",Carga!C30," ",Carga!D30," ",Carga!E30)</f>
        <v>Acometida Trifásica de 11 a 35kw   </v>
      </c>
      <c r="H37" s="95">
        <f>Carga!F30</f>
        <v>1</v>
      </c>
      <c r="I37" s="95" t="str">
        <f>IFERROR(VLOOKUP(Carga!B30,Precios!D:F,4,0), "")</f>
        <v/>
      </c>
      <c r="J37" s="95"/>
      <c r="K37" s="97">
        <f>IFERROR(VLOOKUP(Carga!B30,Precios!D:E,2,0), "")</f>
        <v>289000</v>
      </c>
      <c r="L37" s="97">
        <f>Carga!M30</f>
        <v>289000</v>
      </c>
    </row>
    <row r="38" ht="9.75" customHeight="1">
      <c r="A38" s="81" t="s">
        <v>656</v>
      </c>
      <c r="B38" s="80"/>
      <c r="C38" s="80"/>
      <c r="D38" s="80"/>
      <c r="E38" s="80"/>
      <c r="F38" s="80"/>
      <c r="G38" s="80"/>
      <c r="H38" s="80"/>
      <c r="I38" s="80"/>
      <c r="J38" s="105"/>
      <c r="K38" s="81"/>
      <c r="L38" s="80"/>
    </row>
    <row r="39" ht="5.25" customHeight="1">
      <c r="A39" s="69"/>
      <c r="B39" s="69"/>
      <c r="C39" s="69"/>
      <c r="D39" s="69"/>
      <c r="E39" s="69"/>
      <c r="F39" s="69"/>
      <c r="G39" s="69"/>
      <c r="H39" s="69"/>
      <c r="I39" s="69"/>
      <c r="J39" s="69"/>
      <c r="K39" s="69"/>
      <c r="L39" s="69"/>
    </row>
    <row r="40" ht="3.75" customHeight="1">
      <c r="A40" s="106"/>
      <c r="B40" s="106"/>
      <c r="C40" s="106"/>
      <c r="D40" s="106"/>
      <c r="E40" s="106"/>
      <c r="F40" s="106"/>
      <c r="G40" s="106"/>
      <c r="H40" s="106"/>
      <c r="I40" s="106"/>
      <c r="J40" s="69"/>
      <c r="K40" s="107">
        <f>SUM(L15:L37)</f>
        <v>190025</v>
      </c>
      <c r="L40" s="108"/>
    </row>
    <row r="41" ht="15.0" customHeight="1">
      <c r="A41" s="109" t="str">
        <f>IF(Nota!E24=0, "",Nota!E24)</f>
        <v> /    /    /    /    /    /    /    /    /    /    /    /    /    /    /    /    /    /    /    /    /    /    /   </v>
      </c>
      <c r="J41" s="69"/>
      <c r="K41" s="110" t="s">
        <v>688</v>
      </c>
      <c r="L41" s="112">
        <f>Carga!M34</f>
        <v>345500</v>
      </c>
    </row>
    <row r="42" ht="15.0" customHeight="1">
      <c r="J42" s="69"/>
      <c r="K42" s="114" t="s">
        <v>694</v>
      </c>
      <c r="L42" s="112">
        <f>Carga!M35</f>
        <v>-155475</v>
      </c>
    </row>
    <row r="43" ht="5.25" customHeight="1">
      <c r="J43" s="69"/>
      <c r="K43" s="115"/>
    </row>
    <row r="44" ht="17.25" customHeight="1">
      <c r="J44" s="69"/>
      <c r="K44" s="118" t="s">
        <v>5</v>
      </c>
    </row>
    <row r="45" ht="37.5" customHeight="1">
      <c r="J45" s="69"/>
      <c r="K45" s="118">
        <f>Carga!M37</f>
        <v>190025</v>
      </c>
    </row>
    <row r="46" ht="3.75" customHeight="1">
      <c r="A46" s="106"/>
      <c r="B46" s="106"/>
      <c r="C46" s="106"/>
      <c r="D46" s="106"/>
      <c r="E46" s="106"/>
      <c r="F46" s="106"/>
      <c r="G46" s="106"/>
      <c r="H46" s="106"/>
      <c r="I46" s="106"/>
      <c r="J46" s="69"/>
      <c r="K46" s="69"/>
      <c r="L46" s="69"/>
    </row>
    <row r="47" ht="9.75" customHeight="1">
      <c r="A47" s="81" t="s">
        <v>711</v>
      </c>
      <c r="B47" s="80"/>
      <c r="C47" s="80"/>
      <c r="D47" s="80"/>
      <c r="E47" s="80"/>
      <c r="F47" s="80"/>
      <c r="G47" s="80"/>
      <c r="H47" s="80"/>
      <c r="I47" s="80"/>
      <c r="J47" s="80"/>
      <c r="K47" s="80"/>
      <c r="L47" s="80"/>
    </row>
    <row r="48" ht="3.75" customHeight="1">
      <c r="A48" s="69"/>
      <c r="B48" s="69"/>
      <c r="C48" s="69"/>
      <c r="D48" s="69"/>
      <c r="E48" s="69"/>
      <c r="F48" s="69"/>
      <c r="G48" s="69"/>
      <c r="H48" s="69"/>
      <c r="I48" s="69"/>
      <c r="J48" s="69"/>
      <c r="K48" s="122"/>
      <c r="L48" s="122"/>
    </row>
    <row r="49" ht="11.25" customHeight="1">
      <c r="A49" s="123" t="s">
        <v>725</v>
      </c>
      <c r="G49" s="124" t="s">
        <v>694</v>
      </c>
    </row>
    <row r="50" ht="3.75" customHeight="1">
      <c r="A50" s="69"/>
      <c r="B50" s="69"/>
      <c r="C50" s="69"/>
      <c r="D50" s="69"/>
      <c r="E50" s="69"/>
      <c r="F50" s="69"/>
      <c r="G50" s="69"/>
      <c r="H50" s="69"/>
      <c r="I50" s="69"/>
      <c r="J50" s="69"/>
      <c r="K50" s="122"/>
      <c r="L50" s="122"/>
    </row>
    <row r="51" ht="9.75" customHeight="1">
      <c r="A51" s="123" t="s">
        <v>733</v>
      </c>
      <c r="G51" s="124" t="s">
        <v>735</v>
      </c>
    </row>
    <row r="52" ht="3.75" customHeight="1">
      <c r="A52" s="69"/>
      <c r="B52" s="69"/>
      <c r="C52" s="69"/>
      <c r="D52" s="69"/>
      <c r="E52" s="69"/>
      <c r="F52" s="69"/>
      <c r="G52" s="69"/>
      <c r="H52" s="69"/>
      <c r="I52" s="69"/>
      <c r="J52" s="69"/>
      <c r="K52" s="122"/>
      <c r="L52" s="122"/>
    </row>
    <row r="53" ht="32.25" customHeight="1">
      <c r="A53" s="125" t="s">
        <v>742</v>
      </c>
      <c r="B53" s="80"/>
      <c r="C53" s="80"/>
      <c r="D53" s="80"/>
      <c r="E53" s="80"/>
      <c r="F53" s="80"/>
      <c r="G53" s="80"/>
      <c r="H53" s="80"/>
      <c r="I53" s="80"/>
      <c r="J53" s="80"/>
      <c r="K53" s="80"/>
      <c r="L53" s="80"/>
    </row>
    <row r="54" ht="9.75" customHeight="1">
      <c r="A54" s="69"/>
      <c r="B54" s="69"/>
      <c r="C54" s="69"/>
      <c r="D54" s="69"/>
      <c r="E54" s="69"/>
      <c r="F54" s="69"/>
      <c r="G54" s="69"/>
      <c r="H54" s="69"/>
      <c r="I54" s="69"/>
      <c r="J54" s="69"/>
      <c r="K54" s="69"/>
      <c r="L54" s="69"/>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A1:G1"/>
    <mergeCell ref="A2:C2"/>
    <mergeCell ref="F2:G2"/>
    <mergeCell ref="A4:C4"/>
    <mergeCell ref="F4:G4"/>
    <mergeCell ref="A6:C6"/>
    <mergeCell ref="F6:G6"/>
    <mergeCell ref="A8:C8"/>
    <mergeCell ref="F8:G8"/>
    <mergeCell ref="C12:G12"/>
    <mergeCell ref="H12:I12"/>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36:G36"/>
    <mergeCell ref="B37:G37"/>
    <mergeCell ref="K38:L38"/>
    <mergeCell ref="A49:F49"/>
    <mergeCell ref="A51:F51"/>
    <mergeCell ref="G51:L51"/>
    <mergeCell ref="A53:L53"/>
    <mergeCell ref="A38:I38"/>
    <mergeCell ref="A41:I45"/>
    <mergeCell ref="K43:L43"/>
    <mergeCell ref="K44:L44"/>
    <mergeCell ref="K45:L45"/>
    <mergeCell ref="A47:L47"/>
    <mergeCell ref="G49:L49"/>
  </mergeCells>
  <conditionalFormatting sqref="F8:G8">
    <cfRule type="containsBlanks" dxfId="3" priority="1">
      <formula>LEN(TRIM(F8))=0</formula>
    </cfRule>
  </conditionalFormatting>
  <conditionalFormatting sqref="F6:G6">
    <cfRule type="containsBlanks" dxfId="3" priority="2">
      <formula>LEN(TRIM(F6))=0</formula>
    </cfRule>
  </conditionalFormatting>
  <conditionalFormatting sqref="F4:G4">
    <cfRule type="containsBlanks" dxfId="3" priority="3">
      <formula>LEN(TRIM(F4))=0</formula>
    </cfRule>
  </conditionalFormatting>
  <conditionalFormatting sqref="F2:G2">
    <cfRule type="containsBlanks" dxfId="3" priority="4">
      <formula>LEN(TRIM(F2))=0</formula>
    </cfRule>
  </conditionalFormatting>
  <conditionalFormatting sqref="B1">
    <cfRule type="notContainsBlanks" dxfId="4" priority="5">
      <formula>LEN(TRIM(B1))&gt;0</formula>
    </cfRule>
  </conditionalFormatting>
  <conditionalFormatting sqref="B15:G37">
    <cfRule type="containsText" dxfId="5" priority="6" operator="containsText" text="%">
      <formula>NOT(ISERROR(SEARCH(("%"),(B15))))</formula>
    </cfRule>
  </conditionalFormatting>
  <printOptions/>
  <pageMargins bottom="0.0" footer="0.0" header="0.0" left="0.0" right="0.0" top="0.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showGridLines="0" workbookViewId="0"/>
  </sheetViews>
  <sheetFormatPr customHeight="1" defaultColWidth="12.63" defaultRowHeight="15.0"/>
  <cols>
    <col customWidth="1" min="1" max="1" width="6.13"/>
    <col customWidth="1" min="2" max="2" width="3.38"/>
    <col customWidth="1" min="3" max="3" width="6.63"/>
    <col customWidth="1" min="4" max="5" width="0.88"/>
    <col customWidth="1" min="6" max="6" width="18.0"/>
    <col customWidth="1" min="7" max="7" width="32.0"/>
    <col customWidth="1" min="8" max="8" width="3.75"/>
    <col customWidth="1" min="9" max="9" width="6.0"/>
    <col customWidth="1" min="10" max="10" width="1.0"/>
    <col customWidth="1" min="11" max="11" width="7.13"/>
    <col customWidth="1" min="12" max="12" width="12.38"/>
  </cols>
  <sheetData>
    <row r="1" ht="19.5" customHeight="1">
      <c r="A1" s="68" t="s">
        <v>270</v>
      </c>
      <c r="H1" s="69"/>
      <c r="I1" s="69"/>
      <c r="J1" s="69"/>
      <c r="K1" s="69"/>
      <c r="L1" s="69"/>
    </row>
    <row r="2" ht="12.0" customHeight="1">
      <c r="A2" s="70" t="s">
        <v>275</v>
      </c>
      <c r="D2" s="71"/>
      <c r="E2" s="72"/>
      <c r="F2" s="73" t="str">
        <f>IFERROR(UPPER(CONCATENATE(LEFT(F6,2),MID(F6,SEARCH(" ",F6)+1,1),"-",TEXT(F4,"DD"),TEXT(F4,"MM"))), "")</f>
        <v>PEM-1402</v>
      </c>
      <c r="H2" s="69"/>
      <c r="I2" s="69"/>
      <c r="J2" s="69"/>
      <c r="K2" s="69"/>
      <c r="L2" s="69"/>
    </row>
    <row r="3" ht="6.0" customHeight="1">
      <c r="A3" s="74"/>
      <c r="B3" s="74"/>
      <c r="C3" s="74"/>
      <c r="D3" s="75"/>
      <c r="E3" s="69"/>
      <c r="F3" s="74"/>
      <c r="G3" s="74"/>
      <c r="H3" s="74"/>
      <c r="I3" s="69"/>
      <c r="J3" s="69"/>
      <c r="K3" s="69"/>
      <c r="L3" s="69"/>
    </row>
    <row r="4" ht="12.0" customHeight="1">
      <c r="A4" s="70" t="s">
        <v>289</v>
      </c>
      <c r="D4" s="71"/>
      <c r="E4" s="72"/>
      <c r="F4" s="76">
        <f>Carga!B2</f>
        <v>46067</v>
      </c>
      <c r="H4" s="69"/>
      <c r="I4" s="69"/>
      <c r="J4" s="69"/>
      <c r="K4" s="69"/>
      <c r="L4" s="69"/>
    </row>
    <row r="5" ht="6.0" customHeight="1">
      <c r="A5" s="74"/>
      <c r="B5" s="74"/>
      <c r="C5" s="74"/>
      <c r="D5" s="75"/>
      <c r="E5" s="69"/>
      <c r="F5" s="74"/>
      <c r="G5" s="74"/>
      <c r="H5" s="69"/>
      <c r="I5" s="69"/>
      <c r="J5" s="69"/>
      <c r="K5" s="69"/>
      <c r="L5" s="69"/>
    </row>
    <row r="6" ht="12.0" customHeight="1">
      <c r="A6" s="70" t="s">
        <v>299</v>
      </c>
      <c r="D6" s="71"/>
      <c r="E6" s="72"/>
      <c r="F6" s="73" t="str">
        <f>Carga!B3</f>
        <v>Pepito monje</v>
      </c>
      <c r="H6" s="69"/>
      <c r="I6" s="69"/>
      <c r="J6" s="69"/>
      <c r="K6" s="69"/>
      <c r="L6" s="69"/>
    </row>
    <row r="7" ht="5.25" customHeight="1">
      <c r="A7" s="74"/>
      <c r="B7" s="74"/>
      <c r="C7" s="74"/>
      <c r="D7" s="75"/>
      <c r="E7" s="69"/>
      <c r="F7" s="74"/>
      <c r="G7" s="74"/>
      <c r="H7" s="69"/>
      <c r="I7" s="69"/>
      <c r="J7" s="69"/>
      <c r="K7" s="69"/>
      <c r="L7" s="69"/>
    </row>
    <row r="8" ht="12.0" customHeight="1">
      <c r="A8" s="70" t="s">
        <v>306</v>
      </c>
      <c r="D8" s="71"/>
      <c r="E8" s="72"/>
      <c r="F8" s="73" t="str">
        <f>Carga!B4</f>
        <v>Guntanamera 1020</v>
      </c>
      <c r="H8" s="69"/>
      <c r="I8" s="69"/>
      <c r="J8" s="69"/>
      <c r="K8" s="69"/>
      <c r="L8" s="69"/>
    </row>
    <row r="9" ht="9.75" customHeight="1">
      <c r="A9" s="69"/>
      <c r="B9" s="69"/>
      <c r="C9" s="69"/>
      <c r="D9" s="69"/>
      <c r="E9" s="69"/>
      <c r="F9" s="69"/>
      <c r="G9" s="69"/>
      <c r="H9" s="69"/>
      <c r="I9" s="69"/>
      <c r="J9" s="69"/>
      <c r="K9" s="69"/>
      <c r="L9" s="69"/>
    </row>
    <row r="10" ht="9.75" customHeight="1">
      <c r="A10" s="69"/>
      <c r="B10" s="69"/>
      <c r="C10" s="69"/>
      <c r="D10" s="69"/>
      <c r="E10" s="69"/>
      <c r="F10" s="69"/>
      <c r="G10" s="69"/>
      <c r="H10" s="69"/>
      <c r="I10" s="69"/>
      <c r="J10" s="69"/>
      <c r="K10" s="69"/>
      <c r="L10" s="69"/>
    </row>
    <row r="11" ht="8.25" customHeight="1">
      <c r="A11" s="69"/>
      <c r="B11" s="69"/>
      <c r="C11" s="69"/>
      <c r="D11" s="69"/>
      <c r="E11" s="69"/>
      <c r="F11" s="69"/>
      <c r="G11" s="69"/>
      <c r="H11" s="69"/>
      <c r="I11" s="69"/>
      <c r="J11" s="69"/>
      <c r="K11" s="69"/>
      <c r="L11" s="69"/>
    </row>
    <row r="12" ht="24.0" customHeight="1">
      <c r="A12" s="77" t="s">
        <v>41</v>
      </c>
      <c r="B12" s="78"/>
      <c r="C12" s="79" t="s">
        <v>17</v>
      </c>
      <c r="D12" s="80"/>
      <c r="E12" s="80"/>
      <c r="F12" s="80"/>
      <c r="G12" s="80"/>
      <c r="H12" s="81" t="s">
        <v>1</v>
      </c>
      <c r="I12" s="80"/>
      <c r="J12" s="82"/>
      <c r="K12" s="83" t="s">
        <v>19</v>
      </c>
      <c r="L12" s="83" t="s">
        <v>319</v>
      </c>
    </row>
    <row r="13" ht="9.0" customHeight="1">
      <c r="A13" s="84"/>
      <c r="B13" s="84"/>
      <c r="C13" s="85"/>
      <c r="D13" s="85"/>
      <c r="E13" s="85"/>
      <c r="F13" s="85"/>
      <c r="G13" s="85"/>
      <c r="H13" s="86"/>
      <c r="I13" s="86"/>
      <c r="J13" s="86"/>
      <c r="K13" s="87"/>
      <c r="L13" s="87"/>
    </row>
    <row r="14" ht="12.75" customHeight="1">
      <c r="A14" s="88"/>
      <c r="B14" s="88"/>
      <c r="C14" s="88"/>
      <c r="D14" s="88"/>
      <c r="E14" s="88"/>
      <c r="F14" s="88"/>
      <c r="G14" s="88"/>
      <c r="H14" s="88"/>
      <c r="I14" s="88"/>
      <c r="J14" s="88"/>
      <c r="K14" s="88"/>
      <c r="L14" s="88"/>
    </row>
    <row r="15" ht="20.25" customHeight="1">
      <c r="A15" s="89" t="str">
        <f>IFERROR(VLOOKUP(B15,Precios!D:F,5,0), "")</f>
        <v/>
      </c>
      <c r="B15" s="101">
        <f>Copia_de_Carga!B8</f>
        <v>46072</v>
      </c>
      <c r="H15" s="95" t="str">
        <f>Copia_de_Carga!F8</f>
        <v>Villagrono Alfredus</v>
      </c>
      <c r="I15" s="95" t="str">
        <f>IFERROR(VLOOKUP(Carga!B8,Precios!D:F,4,0), "")</f>
        <v/>
      </c>
      <c r="J15" s="95"/>
      <c r="K15" s="97" t="str">
        <f>IFERROR(VLOOKUP(Copia_de_Carga!B8,Precios!D:E,2,0), "")</f>
        <v/>
      </c>
      <c r="L15" s="97" t="str">
        <f>Copia_de_Carga!M8</f>
        <v>#VALUE!</v>
      </c>
    </row>
    <row r="16" ht="20.25" customHeight="1">
      <c r="A16" s="89" t="str">
        <f>IFERROR(VLOOKUP(B16,Precios!D:F,5,0), "")</f>
        <v/>
      </c>
      <c r="B16" s="94" t="str">
        <f>Copia_de_Carga!B9</f>
        <v>Instalación a altura h&lt;4mts con perfil C P/ BPC 100 a 300</v>
      </c>
      <c r="H16" s="95">
        <f>Copia_de_Carga!F9</f>
        <v>1</v>
      </c>
      <c r="I16" s="95" t="str">
        <f>IFERROR(VLOOKUP(Carga!B9,Precios!D:F,4,0), "")</f>
        <v/>
      </c>
      <c r="J16" s="95"/>
      <c r="K16" s="97">
        <f>IFERROR(VLOOKUP(Copia_de_Carga!B9,Precios!D:E,2,0), "")</f>
        <v>51700</v>
      </c>
      <c r="L16" s="97" t="str">
        <f>Copia_de_Carga!M9</f>
        <v>#VALUE!</v>
      </c>
    </row>
    <row r="17" ht="20.25" customHeight="1">
      <c r="A17" s="89" t="str">
        <f>IFERROR(VLOOKUP(B17,Precios!D:F,5,0), "")</f>
        <v/>
      </c>
      <c r="B17" s="94" t="str">
        <f>Copia_de_Carga!B10</f>
        <v>Instalación a altura h&lt;4mts con perfil C P/ BPC 100 a 300</v>
      </c>
      <c r="H17" s="95">
        <f>Copia_de_Carga!F10</f>
        <v>1</v>
      </c>
      <c r="I17" s="95" t="str">
        <f>IFERROR(VLOOKUP(Carga!B10,Precios!D:F,4,0), "")</f>
        <v/>
      </c>
      <c r="J17" s="95"/>
      <c r="K17" s="97">
        <f>IFERROR(VLOOKUP(Copia_de_Carga!B10,Precios!D:E,2,0), "")</f>
        <v>51700</v>
      </c>
      <c r="L17" s="97" t="str">
        <f>Copia_de_Carga!M10</f>
        <v>#VALUE!</v>
      </c>
    </row>
    <row r="18" ht="20.25" customHeight="1">
      <c r="A18" s="89" t="str">
        <f>IFERROR(VLOOKUP(B18,Precios!D:F,5,0), "")</f>
        <v/>
      </c>
      <c r="B18" s="94" t="str">
        <f>Copia_de_Carga!B11</f>
        <v>Instalación a altura h&lt;4mts con perfil C P/ BPC 100 a 300</v>
      </c>
      <c r="H18" s="95">
        <f>Copia_de_Carga!F11</f>
        <v>1</v>
      </c>
      <c r="I18" s="95" t="str">
        <f>IFERROR(VLOOKUP(Carga!B11,Precios!D:F,4,0), "")</f>
        <v/>
      </c>
      <c r="J18" s="95"/>
      <c r="K18" s="97">
        <f>IFERROR(VLOOKUP(Copia_de_Carga!B11,Precios!D:E,2,0), "")</f>
        <v>51700</v>
      </c>
      <c r="L18" s="97" t="str">
        <f>Copia_de_Carga!M11</f>
        <v>#VALUE!</v>
      </c>
    </row>
    <row r="19" ht="20.25" customHeight="1">
      <c r="A19" s="89" t="str">
        <f>IFERROR(VLOOKUP(B19,Precios!D:F,5,0), "")</f>
        <v/>
      </c>
      <c r="B19" s="94" t="str">
        <f>Copia_de_Carga!B12</f>
        <v>Instalación a altura h&lt;4mts con perfil C P/ BPC 100 a 300</v>
      </c>
      <c r="H19" s="95">
        <f>Copia_de_Carga!F12</f>
        <v>1</v>
      </c>
      <c r="I19" s="95" t="str">
        <f>IFERROR(VLOOKUP(Carga!B12,Precios!D:F,4,0), "")</f>
        <v/>
      </c>
      <c r="J19" s="95"/>
      <c r="K19" s="97">
        <f>IFERROR(VLOOKUP(Copia_de_Carga!B12,Precios!D:E,2,0), "")</f>
        <v>51700</v>
      </c>
      <c r="L19" s="97" t="str">
        <f>Copia_de_Carga!M12</f>
        <v>#VALUE!</v>
      </c>
    </row>
    <row r="20" ht="20.25" customHeight="1">
      <c r="A20" s="89" t="str">
        <f>IFERROR(VLOOKUP(B20,Precios!D:F,5,0), "")</f>
        <v/>
      </c>
      <c r="B20" s="94" t="str">
        <f>Copia_de_Carga!B13</f>
        <v>Instalación a altura h&lt;4mts con perfil C P/ BPC 100 a 300</v>
      </c>
      <c r="H20" s="95">
        <f>Copia_de_Carga!F13</f>
        <v>1</v>
      </c>
      <c r="I20" s="95" t="str">
        <f>IFERROR(VLOOKUP(Carga!B13,Precios!D:F,4,0), "")</f>
        <v/>
      </c>
      <c r="J20" s="95"/>
      <c r="K20" s="97">
        <f>IFERROR(VLOOKUP(Copia_de_Carga!B13,Precios!D:E,2,0), "")</f>
        <v>51700</v>
      </c>
      <c r="L20" s="97" t="str">
        <f>Copia_de_Carga!M13</f>
        <v>#VALUE!</v>
      </c>
    </row>
    <row r="21" ht="20.25" customHeight="1">
      <c r="A21" s="89" t="str">
        <f>IFERROR(VLOOKUP(B21,Precios!D:F,5,0), "")</f>
        <v/>
      </c>
      <c r="B21" s="94" t="str">
        <f>Copia_de_Carga!B14</f>
        <v>Instalación a altura h&lt;4mts con perfil C P/ BPC 100 a 300</v>
      </c>
      <c r="H21" s="95">
        <f>Copia_de_Carga!F14</f>
        <v>1</v>
      </c>
      <c r="I21" s="95" t="str">
        <f>IFERROR(VLOOKUP(Carga!B14,Precios!D:F,4,0), "")</f>
        <v/>
      </c>
      <c r="J21" s="95"/>
      <c r="K21" s="97">
        <f>IFERROR(VLOOKUP(Copia_de_Carga!B14,Precios!D:E,2,0), "")</f>
        <v>51700</v>
      </c>
      <c r="L21" s="97" t="str">
        <f>Copia_de_Carga!M14</f>
        <v>#VALUE!</v>
      </c>
    </row>
    <row r="22" ht="20.25" customHeight="1">
      <c r="A22" s="89" t="str">
        <f>IFERROR(VLOOKUP(B22,Precios!D:F,5,0), "")</f>
        <v/>
      </c>
      <c r="B22" s="94" t="str">
        <f>Copia_de_Carga!B15</f>
        <v>Certificacion de vivienda o local comercial (hasta 20bocas) no incluye adecuacion de la instalacion</v>
      </c>
      <c r="H22" s="95">
        <f>Copia_de_Carga!F15</f>
        <v>-2</v>
      </c>
      <c r="I22" s="95" t="str">
        <f>IFERROR(VLOOKUP(Carga!B15,Precios!D:F,4,0), "")</f>
        <v/>
      </c>
      <c r="J22" s="95"/>
      <c r="K22" s="97" t="str">
        <f>IFERROR(VLOOKUP(Copia_de_Carga!B15,Precios!D:E,2,0), "")</f>
        <v/>
      </c>
      <c r="L22" s="97" t="str">
        <f>Copia_de_Carga!M15</f>
        <v>#VALUE!</v>
      </c>
    </row>
    <row r="23" ht="20.25" customHeight="1">
      <c r="A23" s="89" t="str">
        <f>IFERROR(VLOOKUP(B23,Precios!D:F,5,0), "")</f>
        <v/>
      </c>
      <c r="B23" s="94" t="str">
        <f>Copia_de_Carga!B16</f>
        <v>Certificacion de vivienda o local comercial (hasta 20bocas) no incluye adecuacion de la instalacion</v>
      </c>
      <c r="H23" s="95">
        <f>Copia_de_Carga!F16</f>
        <v>-2</v>
      </c>
      <c r="I23" s="95" t="str">
        <f>IFERROR(VLOOKUP(Carga!B16,Precios!D:F,4,0), "")</f>
        <v/>
      </c>
      <c r="J23" s="95"/>
      <c r="K23" s="97" t="str">
        <f>IFERROR(VLOOKUP(Copia_de_Carga!B16,Precios!D:E,2,0), "")</f>
        <v/>
      </c>
      <c r="L23" s="97" t="str">
        <f>Copia_de_Carga!M16</f>
        <v>#VALUE!</v>
      </c>
    </row>
    <row r="24" ht="20.25" customHeight="1">
      <c r="A24" s="89" t="str">
        <f>IFERROR(VLOOKUP(B24,Precios!D:F,5,0), "")</f>
        <v/>
      </c>
      <c r="B24" s="94" t="str">
        <f>Copia_de_Carga!B17</f>
        <v>Certificacion de vivienda o local comercial (hasta 20bocas) no incluye adecuacion de la instalacion</v>
      </c>
      <c r="H24" s="95">
        <f>Copia_de_Carga!F17</f>
        <v>-2</v>
      </c>
      <c r="I24" s="95" t="str">
        <f>IFERROR(VLOOKUP(Carga!B17,Precios!D:F,4,0), "")</f>
        <v/>
      </c>
      <c r="J24" s="95"/>
      <c r="K24" s="97" t="str">
        <f>IFERROR(VLOOKUP(Copia_de_Carga!B17,Precios!D:E,2,0), "")</f>
        <v/>
      </c>
      <c r="L24" s="97" t="str">
        <f>Copia_de_Carga!M17</f>
        <v>#VALUE!</v>
      </c>
    </row>
    <row r="25" ht="20.25" customHeight="1">
      <c r="A25" s="89" t="str">
        <f>IFERROR(VLOOKUP(B25,Precios!D:F,5,0), "")</f>
        <v/>
      </c>
      <c r="B25" s="94" t="str">
        <f>Copia_de_Carga!B18</f>
        <v>Certificacion de vivienda o local comercial (hasta 20bocas) no incluye adecuacion de la instalacion</v>
      </c>
      <c r="H25" s="95">
        <f>Copia_de_Carga!F18</f>
        <v>-2</v>
      </c>
      <c r="I25" s="95" t="str">
        <f>IFERROR(VLOOKUP(Carga!B18,Precios!D:F,4,0), "")</f>
        <v/>
      </c>
      <c r="J25" s="95"/>
      <c r="K25" s="97" t="str">
        <f>IFERROR(VLOOKUP(Copia_de_Carga!B18,Precios!D:E,2,0), "")</f>
        <v/>
      </c>
      <c r="L25" s="97" t="str">
        <f>Copia_de_Carga!M18</f>
        <v>#VALUE!</v>
      </c>
    </row>
    <row r="26" ht="20.25" customHeight="1">
      <c r="A26" s="89" t="str">
        <f>IFERROR(VLOOKUP(B26,Precios!D:F,5,0), "")</f>
        <v/>
      </c>
      <c r="B26" s="94" t="str">
        <f>Copia_de_Carga!B19</f>
        <v>Certificacion de vivienda o local comercial (hasta 20bocas) no incluye adecuacion de la instalacion</v>
      </c>
      <c r="H26" s="95">
        <f>Copia_de_Carga!F19</f>
        <v>-2</v>
      </c>
      <c r="I26" s="95" t="str">
        <f>IFERROR(VLOOKUP(Carga!B19,Precios!D:F,4,0), "")</f>
        <v/>
      </c>
      <c r="J26" s="95"/>
      <c r="K26" s="97" t="str">
        <f>IFERROR(VLOOKUP(Copia_de_Carga!B19,Precios!D:E,2,0), "")</f>
        <v/>
      </c>
      <c r="L26" s="97" t="str">
        <f>Copia_de_Carga!M19</f>
        <v>#VALUE!</v>
      </c>
    </row>
    <row r="27" ht="20.25" customHeight="1">
      <c r="A27" s="89" t="str">
        <f>IFERROR(VLOOKUP(B27,Precios!D:F,5,0), "")</f>
        <v/>
      </c>
      <c r="B27" s="94" t="str">
        <f>Copia_de_Carga!B20</f>
        <v>Certificacion de vivienda o local comercial (hasta 20bocas) no incluye adecuacion de la instalacion</v>
      </c>
      <c r="H27" s="95">
        <f>Copia_de_Carga!F20</f>
        <v>-2</v>
      </c>
      <c r="I27" s="95" t="str">
        <f>IFERROR(VLOOKUP(Carga!B20,Precios!D:F,4,0), "")</f>
        <v/>
      </c>
      <c r="J27" s="95"/>
      <c r="K27" s="97" t="str">
        <f>IFERROR(VLOOKUP(Copia_de_Carga!B20,Precios!D:E,2,0), "")</f>
        <v/>
      </c>
      <c r="L27" s="97" t="str">
        <f>Copia_de_Carga!M20</f>
        <v>#VALUE!</v>
      </c>
    </row>
    <row r="28" ht="20.25" customHeight="1">
      <c r="A28" s="89" t="str">
        <f>IFERROR(VLOOKUP(B28,Precios!D:F,5,0), "")</f>
        <v/>
      </c>
      <c r="B28" s="94" t="str">
        <f>Copia_de_Carga!B21</f>
        <v>Certificacion de vivienda o local comercial (hasta 20bocas) no incluye adecuacion de la instalacion</v>
      </c>
      <c r="H28" s="95">
        <f>Copia_de_Carga!F21</f>
        <v>-2</v>
      </c>
      <c r="I28" s="95" t="str">
        <f>IFERROR(VLOOKUP(Carga!B21,Precios!D:F,4,0), "")</f>
        <v/>
      </c>
      <c r="J28" s="95"/>
      <c r="K28" s="97" t="str">
        <f>IFERROR(VLOOKUP(Copia_de_Carga!B21,Precios!D:E,2,0), "")</f>
        <v/>
      </c>
      <c r="L28" s="97" t="str">
        <f>Copia_de_Carga!M21</f>
        <v>#VALUE!</v>
      </c>
    </row>
    <row r="29" ht="20.25" customHeight="1">
      <c r="A29" s="89" t="str">
        <f>IFERROR(VLOOKUP(B29,Precios!D:F,5,0), "")</f>
        <v/>
      </c>
      <c r="B29" s="94" t="str">
        <f>Copia_de_Carga!B22</f>
        <v>Certificacion de vivienda o local comercial (hasta 20bocas) no incluye adecuacion de la instalacion</v>
      </c>
      <c r="H29" s="95">
        <f>Copia_de_Carga!F22</f>
        <v>-2</v>
      </c>
      <c r="I29" s="95" t="str">
        <f>IFERROR(VLOOKUP(Carga!B22,Precios!D:F,4,0), "")</f>
        <v/>
      </c>
      <c r="J29" s="95"/>
      <c r="K29" s="97" t="str">
        <f>IFERROR(VLOOKUP(Copia_de_Carga!B22,Precios!D:E,2,0), "")</f>
        <v/>
      </c>
      <c r="L29" s="97" t="str">
        <f>Copia_de_Carga!M22</f>
        <v>#VALUE!</v>
      </c>
    </row>
    <row r="30" ht="20.25" customHeight="1">
      <c r="A30" s="89" t="str">
        <f>IFERROR(VLOOKUP(B30,Precios!D:F,5,0), "")</f>
        <v/>
      </c>
      <c r="B30" s="94" t="str">
        <f>Copia_de_Carga!B23</f>
        <v>Certificacion de vivienda o local comercial (hasta 20bocas) no incluye adecuacion de la instalacion</v>
      </c>
      <c r="H30" s="95">
        <f>Copia_de_Carga!F23</f>
        <v>-2</v>
      </c>
      <c r="I30" s="95" t="str">
        <f>IFERROR(VLOOKUP(Carga!B23,Precios!D:F,4,0), "")</f>
        <v/>
      </c>
      <c r="J30" s="95"/>
      <c r="K30" s="97" t="str">
        <f>IFERROR(VLOOKUP(Copia_de_Carga!B23,Precios!D:E,2,0), "")</f>
        <v/>
      </c>
      <c r="L30" s="97" t="str">
        <f>Copia_de_Carga!M23</f>
        <v>#VALUE!</v>
      </c>
    </row>
    <row r="31" ht="20.25" customHeight="1">
      <c r="A31" s="89" t="str">
        <f>IFERROR(VLOOKUP(B31,Precios!D:F,5,0), "")</f>
        <v/>
      </c>
      <c r="B31" s="94" t="str">
        <f>Copia_de_Carga!B24</f>
        <v>Certificacion de vivienda o local comercial (hasta 20bocas) no incluye adecuacion de la instalacion</v>
      </c>
      <c r="H31" s="95">
        <f>Copia_de_Carga!F24</f>
        <v>-2</v>
      </c>
      <c r="I31" s="95" t="str">
        <f>IFERROR(VLOOKUP(Carga!B24,Precios!D:F,4,0), "")</f>
        <v/>
      </c>
      <c r="J31" s="95"/>
      <c r="K31" s="97" t="str">
        <f>IFERROR(VLOOKUP(Copia_de_Carga!B24,Precios!D:E,2,0), "")</f>
        <v/>
      </c>
      <c r="L31" s="97" t="str">
        <f>Copia_de_Carga!M24</f>
        <v>#VALUE!</v>
      </c>
    </row>
    <row r="32" ht="20.25" customHeight="1">
      <c r="A32" s="89" t="str">
        <f>IFERROR(VLOOKUP(B32,Precios!D:F,5,0), "")</f>
        <v/>
      </c>
      <c r="B32" s="94" t="str">
        <f>Copia_de_Carga!B25</f>
        <v>Certificacion de vivienda o local comercial (hasta 20bocas) no incluye adecuacion de la instalacion</v>
      </c>
      <c r="H32" s="95">
        <f>Copia_de_Carga!F25</f>
        <v>-2</v>
      </c>
      <c r="I32" s="95" t="str">
        <f>IFERROR(VLOOKUP(Carga!B25,Precios!D:F,4,0), "")</f>
        <v/>
      </c>
      <c r="J32" s="95"/>
      <c r="K32" s="97" t="str">
        <f>IFERROR(VLOOKUP(Copia_de_Carga!B25,Precios!D:E,2,0), "")</f>
        <v/>
      </c>
      <c r="L32" s="97" t="str">
        <f>Copia_de_Carga!M25</f>
        <v>#VALUE!</v>
      </c>
    </row>
    <row r="33" ht="20.25" customHeight="1">
      <c r="A33" s="89" t="str">
        <f>IFERROR(VLOOKUP(B33,Precios!D:F,5,0), "")</f>
        <v/>
      </c>
      <c r="B33" s="94" t="str">
        <f>Copia_de_Carga!B26</f>
        <v>Certificacion de vivienda o local comercial (hasta 20bocas) no incluye adecuacion de la instalacion</v>
      </c>
      <c r="H33" s="95">
        <f>Copia_de_Carga!F26</f>
        <v>-2</v>
      </c>
      <c r="I33" s="95" t="str">
        <f>IFERROR(VLOOKUP(Carga!B26,Precios!D:F,4,0), "")</f>
        <v/>
      </c>
      <c r="J33" s="95"/>
      <c r="K33" s="97" t="str">
        <f>IFERROR(VLOOKUP(Copia_de_Carga!B26,Precios!D:E,2,0), "")</f>
        <v/>
      </c>
      <c r="L33" s="97" t="str">
        <f>Copia_de_Carga!M26</f>
        <v>#VALUE!</v>
      </c>
    </row>
    <row r="34" ht="20.25" customHeight="1">
      <c r="A34" s="89" t="str">
        <f>IFERROR(VLOOKUP(B34,Precios!D:F,5,0), "")</f>
        <v/>
      </c>
      <c r="B34" s="94" t="str">
        <f>Copia_de_Carga!B27</f>
        <v>Certificacion de vivienda o local comercial (hasta 20bocas) no incluye adecuacion de la instalacion</v>
      </c>
      <c r="H34" s="95">
        <f>Copia_de_Carga!F27</f>
        <v>-2</v>
      </c>
      <c r="I34" s="95" t="str">
        <f>IFERROR(VLOOKUP(Carga!B27,Precios!D:F,4,0), "")</f>
        <v/>
      </c>
      <c r="J34" s="95"/>
      <c r="K34" s="97" t="str">
        <f>IFERROR(VLOOKUP(Copia_de_Carga!B27,Precios!D:E,2,0), "")</f>
        <v/>
      </c>
      <c r="L34" s="97" t="str">
        <f>Copia_de_Carga!M27</f>
        <v>#VALUE!</v>
      </c>
    </row>
    <row r="35" ht="20.25" customHeight="1">
      <c r="A35" s="89" t="str">
        <f>IFERROR(VLOOKUP(B35,Precios!D:F,5,0), "")</f>
        <v/>
      </c>
      <c r="B35" s="94" t="str">
        <f>Copia_de_Carga!B28</f>
        <v>Certificacion de vivienda o local comercial (hasta 20bocas) no incluye adecuacion de la instalacion</v>
      </c>
      <c r="H35" s="95">
        <f>Copia_de_Carga!F28</f>
        <v>-2</v>
      </c>
      <c r="I35" s="95" t="str">
        <f>IFERROR(VLOOKUP(Carga!B28,Precios!D:F,4,0), "")</f>
        <v/>
      </c>
      <c r="J35" s="95"/>
      <c r="K35" s="97" t="str">
        <f>IFERROR(VLOOKUP(Copia_de_Carga!B28,Precios!D:E,2,0), "")</f>
        <v/>
      </c>
      <c r="L35" s="97" t="str">
        <f>Copia_de_Carga!M28</f>
        <v>#VALUE!</v>
      </c>
    </row>
    <row r="36" ht="20.25" customHeight="1">
      <c r="A36" s="89" t="str">
        <f>IFERROR(VLOOKUP(B36,Precios!D:F,5,0), "")</f>
        <v/>
      </c>
      <c r="B36" s="94" t="str">
        <f>Copia_de_Carga!B29</f>
        <v>Certificacion de vivienda o local comercial (hasta 20bocas) no incluye adecuacion de la instalacion</v>
      </c>
      <c r="H36" s="95">
        <f>Copia_de_Carga!F29</f>
        <v>-2</v>
      </c>
      <c r="I36" s="104" t="str">
        <f>IFERROR(VLOOKUP(Carga!B29,Precios!D:F,4,0), "")</f>
        <v/>
      </c>
      <c r="J36" s="95"/>
      <c r="K36" s="97" t="str">
        <f>IFERROR(VLOOKUP(Copia_de_Carga!B29,Precios!D:E,2,0), "")</f>
        <v/>
      </c>
      <c r="L36" s="97" t="str">
        <f>Copia_de_Carga!M29</f>
        <v>#VALUE!</v>
      </c>
    </row>
    <row r="37" ht="20.25" customHeight="1">
      <c r="A37" s="89" t="str">
        <f>IFERROR(VLOOKUP(B37,Precios!D:F,5,0), "")</f>
        <v/>
      </c>
      <c r="B37" s="94" t="str">
        <f>Copia_de_Carga!B30</f>
        <v>Certificacion de vivienda o local comercial (hasta 20bocas) no incluye adecuacion de la instalacion</v>
      </c>
      <c r="H37" s="95">
        <f>Copia_de_Carga!F30</f>
        <v>-2</v>
      </c>
      <c r="I37" s="95" t="str">
        <f>IFERROR(VLOOKUP(Carga!B30,Precios!D:F,4,0), "")</f>
        <v/>
      </c>
      <c r="J37" s="95"/>
      <c r="K37" s="97" t="str">
        <f>IFERROR(VLOOKUP(Copia_de_Carga!B30,Precios!D:E,2,0), "")</f>
        <v/>
      </c>
      <c r="L37" s="97" t="str">
        <f>Copia_de_Carga!M30</f>
        <v>#VALUE!</v>
      </c>
    </row>
    <row r="38" ht="9.75" customHeight="1">
      <c r="A38" s="81" t="s">
        <v>656</v>
      </c>
      <c r="B38" s="80"/>
      <c r="C38" s="80"/>
      <c r="D38" s="80"/>
      <c r="E38" s="80"/>
      <c r="F38" s="80"/>
      <c r="G38" s="80"/>
      <c r="H38" s="80"/>
      <c r="I38" s="80"/>
      <c r="J38" s="105"/>
      <c r="K38" s="81"/>
      <c r="L38" s="80"/>
    </row>
    <row r="39" ht="5.25" customHeight="1">
      <c r="A39" s="69"/>
      <c r="B39" s="69"/>
      <c r="C39" s="69"/>
      <c r="D39" s="69"/>
      <c r="E39" s="69"/>
      <c r="F39" s="69"/>
      <c r="G39" s="69"/>
      <c r="H39" s="69"/>
      <c r="I39" s="69"/>
      <c r="J39" s="69"/>
      <c r="K39" s="69"/>
      <c r="L39" s="69"/>
    </row>
    <row r="40" ht="3.75" customHeight="1">
      <c r="A40" s="106"/>
      <c r="B40" s="106"/>
      <c r="C40" s="106"/>
      <c r="D40" s="106"/>
      <c r="E40" s="106"/>
      <c r="F40" s="106"/>
      <c r="G40" s="106"/>
      <c r="H40" s="106"/>
      <c r="I40" s="106"/>
      <c r="J40" s="69"/>
      <c r="K40" s="107" t="str">
        <f>SUM(L15:L37)</f>
        <v>#VALUE!</v>
      </c>
      <c r="L40" s="108"/>
    </row>
    <row r="41" ht="15.0" customHeight="1">
      <c r="A41" s="109" t="str">
        <f>IF(Nota!E24=0, "",Nota!E24)</f>
        <v> /    /    /    /    /    /    /    /    /    /    /    /    /    /    /    /    /    /    /    /    /    /    /   </v>
      </c>
      <c r="J41" s="69"/>
      <c r="K41" s="110" t="s">
        <v>688</v>
      </c>
      <c r="L41" s="112">
        <f>Carga!M34</f>
        <v>345500</v>
      </c>
    </row>
    <row r="42" ht="15.0" customHeight="1">
      <c r="J42" s="69"/>
      <c r="K42" s="114" t="s">
        <v>694</v>
      </c>
      <c r="L42" s="112">
        <f>Carga!M35</f>
        <v>-155475</v>
      </c>
    </row>
    <row r="43" ht="5.25" customHeight="1">
      <c r="J43" s="69"/>
      <c r="K43" s="115"/>
    </row>
    <row r="44" ht="17.25" customHeight="1">
      <c r="J44" s="69"/>
      <c r="K44" s="118" t="s">
        <v>5</v>
      </c>
    </row>
    <row r="45" ht="37.5" customHeight="1">
      <c r="J45" s="69"/>
      <c r="K45" s="118">
        <f>Carga!M37</f>
        <v>190025</v>
      </c>
    </row>
    <row r="46" ht="3.75" customHeight="1">
      <c r="A46" s="106"/>
      <c r="B46" s="106"/>
      <c r="C46" s="106"/>
      <c r="D46" s="106"/>
      <c r="E46" s="106"/>
      <c r="F46" s="106"/>
      <c r="G46" s="106"/>
      <c r="H46" s="106"/>
      <c r="I46" s="106"/>
      <c r="J46" s="69"/>
      <c r="K46" s="69"/>
      <c r="L46" s="69"/>
    </row>
    <row r="47" ht="9.75" customHeight="1">
      <c r="A47" s="81" t="s">
        <v>711</v>
      </c>
      <c r="B47" s="80"/>
      <c r="C47" s="80"/>
      <c r="D47" s="80"/>
      <c r="E47" s="80"/>
      <c r="F47" s="80"/>
      <c r="G47" s="80"/>
      <c r="H47" s="80"/>
      <c r="I47" s="80"/>
      <c r="J47" s="80"/>
      <c r="K47" s="80"/>
      <c r="L47" s="80"/>
    </row>
    <row r="48" ht="3.75" customHeight="1">
      <c r="A48" s="69"/>
      <c r="B48" s="69"/>
      <c r="C48" s="69"/>
      <c r="D48" s="69"/>
      <c r="E48" s="69"/>
      <c r="F48" s="69"/>
      <c r="G48" s="69"/>
      <c r="H48" s="69"/>
      <c r="I48" s="69"/>
      <c r="J48" s="69"/>
      <c r="K48" s="122"/>
      <c r="L48" s="122"/>
    </row>
    <row r="49" ht="11.25" customHeight="1">
      <c r="A49" s="123" t="s">
        <v>725</v>
      </c>
      <c r="G49" s="124" t="s">
        <v>694</v>
      </c>
    </row>
    <row r="50" ht="3.75" customHeight="1">
      <c r="A50" s="69"/>
      <c r="B50" s="69"/>
      <c r="C50" s="69"/>
      <c r="D50" s="69"/>
      <c r="E50" s="69"/>
      <c r="F50" s="69"/>
      <c r="G50" s="69"/>
      <c r="H50" s="69"/>
      <c r="I50" s="69"/>
      <c r="J50" s="69"/>
      <c r="K50" s="122"/>
      <c r="L50" s="122"/>
    </row>
    <row r="51" ht="9.75" customHeight="1">
      <c r="A51" s="123" t="s">
        <v>733</v>
      </c>
      <c r="G51" s="124" t="s">
        <v>735</v>
      </c>
    </row>
    <row r="52" ht="3.75" customHeight="1">
      <c r="A52" s="69"/>
      <c r="B52" s="69"/>
      <c r="C52" s="69"/>
      <c r="D52" s="69"/>
      <c r="E52" s="69"/>
      <c r="F52" s="69"/>
      <c r="G52" s="69"/>
      <c r="H52" s="69"/>
      <c r="I52" s="69"/>
      <c r="J52" s="69"/>
      <c r="K52" s="122"/>
      <c r="L52" s="122"/>
    </row>
    <row r="53" ht="32.25" customHeight="1">
      <c r="A53" s="125" t="s">
        <v>742</v>
      </c>
      <c r="B53" s="80"/>
      <c r="C53" s="80"/>
      <c r="D53" s="80"/>
      <c r="E53" s="80"/>
      <c r="F53" s="80"/>
      <c r="G53" s="80"/>
      <c r="H53" s="80"/>
      <c r="I53" s="80"/>
      <c r="J53" s="80"/>
      <c r="K53" s="80"/>
      <c r="L53" s="80"/>
    </row>
    <row r="54" ht="9.75" customHeight="1">
      <c r="A54" s="69"/>
      <c r="B54" s="69"/>
      <c r="C54" s="69"/>
      <c r="D54" s="69"/>
      <c r="E54" s="69"/>
      <c r="F54" s="69"/>
      <c r="G54" s="69"/>
      <c r="H54" s="69"/>
      <c r="I54" s="69"/>
      <c r="J54" s="69"/>
      <c r="K54" s="69"/>
      <c r="L54" s="69"/>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A1:G1"/>
    <mergeCell ref="A2:C2"/>
    <mergeCell ref="F2:G2"/>
    <mergeCell ref="A4:C4"/>
    <mergeCell ref="F4:G4"/>
    <mergeCell ref="A6:C6"/>
    <mergeCell ref="F6:G6"/>
    <mergeCell ref="A8:C8"/>
    <mergeCell ref="F8:G8"/>
    <mergeCell ref="C12:G12"/>
    <mergeCell ref="H12:I12"/>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36:G36"/>
    <mergeCell ref="B37:G37"/>
    <mergeCell ref="K38:L38"/>
    <mergeCell ref="A49:F49"/>
    <mergeCell ref="A51:F51"/>
    <mergeCell ref="G51:L51"/>
    <mergeCell ref="A53:L53"/>
    <mergeCell ref="A38:I38"/>
    <mergeCell ref="A41:I45"/>
    <mergeCell ref="K43:L43"/>
    <mergeCell ref="K44:L44"/>
    <mergeCell ref="K45:L45"/>
    <mergeCell ref="A47:L47"/>
    <mergeCell ref="G49:L49"/>
  </mergeCells>
  <conditionalFormatting sqref="F8:G8">
    <cfRule type="containsBlanks" dxfId="3" priority="1">
      <formula>LEN(TRIM(F8))=0</formula>
    </cfRule>
  </conditionalFormatting>
  <conditionalFormatting sqref="F6:G6">
    <cfRule type="containsBlanks" dxfId="3" priority="2">
      <formula>LEN(TRIM(F6))=0</formula>
    </cfRule>
  </conditionalFormatting>
  <conditionalFormatting sqref="F4:G4">
    <cfRule type="containsBlanks" dxfId="3" priority="3">
      <formula>LEN(TRIM(F4))=0</formula>
    </cfRule>
  </conditionalFormatting>
  <conditionalFormatting sqref="F2:G2">
    <cfRule type="containsBlanks" dxfId="3" priority="4">
      <formula>LEN(TRIM(F2))=0</formula>
    </cfRule>
  </conditionalFormatting>
  <conditionalFormatting sqref="B15:G37">
    <cfRule type="containsText" dxfId="6" priority="5" operator="containsText" text="%">
      <formula>NOT(ISERROR(SEARCH(("%"),(B15))))</formula>
    </cfRule>
  </conditionalFormatting>
  <printOptions/>
  <pageMargins bottom="0.0" footer="0.0" header="0.0" left="0.0" right="0.0" top="0.0"/>
  <pageSetup paperSize="9" orientation="portrait"/>
  <drawing r:id="rId1"/>
</worksheet>
</file>