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ota" sheetId="1" r:id="rId5"/>
    <sheet state="hidden" name="Hoja8" sheetId="2" r:id="rId6"/>
    <sheet state="hidden" name="Clientes" sheetId="3" r:id="rId7"/>
    <sheet state="hidden" name="Carga" sheetId="4" r:id="rId8"/>
    <sheet state="hidden" name="Copia_de_Carga" sheetId="5" r:id="rId9"/>
    <sheet state="hidden" name="F1" sheetId="6" r:id="rId10"/>
    <sheet state="visible" name="Precios" sheetId="7" r:id="rId11"/>
    <sheet state="hidden" name="Desplegables" sheetId="8" r:id="rId12"/>
    <sheet state="hidden" name="Presupuesto" sheetId="9" r:id="rId13"/>
    <sheet state="hidden" name="Blok Presupuesto" sheetId="10" r:id="rId14"/>
  </sheets>
  <definedNames>
    <definedName localSheetId="9" name="Listado">'Blok Presupuesto'!$B$15:$H$32</definedName>
    <definedName name="Listado">Presupuesto!$B$15:$H$32</definedName>
    <definedName localSheetId="9" name="Fecha">'Blok Presupuesto'!$F$4:$G$4</definedName>
    <definedName localSheetId="9" name="Direccion">'Blok Presupuesto'!$F$8:$G$8</definedName>
    <definedName name="Direccion">Presupuesto!$F$8:$G$8</definedName>
    <definedName name="Fecha">Presupuesto!$F$4:$G$4</definedName>
    <definedName name="Cliente">Presupuesto!$F$6:$G$6</definedName>
    <definedName localSheetId="9" name="Cliente">'Blok Presupuesto'!$F$6:$G$6</definedName>
    <definedName hidden="1" localSheetId="6" name="_xlnm._FilterDatabase">Precios!$A$1:$M$325</definedName>
  </definedNames>
  <calcPr/>
</workbook>
</file>

<file path=xl/sharedStrings.xml><?xml version="1.0" encoding="utf-8"?>
<sst xmlns="http://schemas.openxmlformats.org/spreadsheetml/2006/main" count="3546" uniqueCount="1034">
  <si>
    <t xml:space="preserve">Concepto </t>
  </si>
  <si>
    <t>Cantidad</t>
  </si>
  <si>
    <t>Detalle ingresado</t>
  </si>
  <si>
    <t>precio unitario</t>
  </si>
  <si>
    <t>desc</t>
  </si>
  <si>
    <t>Total</t>
  </si>
  <si>
    <t>Villagrono Alfredus</t>
  </si>
  <si>
    <t>Enrique banchs 3281 los alamos</t>
  </si>
  <si>
    <t>Instalación a altura h&lt;4mts con perfil C P/ BPC 100 a 300</t>
  </si>
  <si>
    <t>TOTAL</t>
  </si>
  <si>
    <t>/</t>
  </si>
  <si>
    <t>Certificacion de vivienda o local comercial (hasta 20bocas) no incluye adecuacion de la instalacion</t>
  </si>
  <si>
    <t xml:space="preserve">Fecha </t>
  </si>
  <si>
    <t>Nombre</t>
  </si>
  <si>
    <t>Pepito monje</t>
  </si>
  <si>
    <t xml:space="preserve">Dirección </t>
  </si>
  <si>
    <t>Jkota</t>
  </si>
  <si>
    <t>Tema</t>
  </si>
  <si>
    <t>Concepto</t>
  </si>
  <si>
    <t>descuento</t>
  </si>
  <si>
    <t>Valor</t>
  </si>
  <si>
    <t>sub</t>
  </si>
  <si>
    <t>descuentos en %</t>
  </si>
  <si>
    <t>concatenado</t>
  </si>
  <si>
    <t>porcentaje</t>
  </si>
  <si>
    <t>%</t>
  </si>
  <si>
    <t>detalle</t>
  </si>
  <si>
    <t>DOCUMENTACIÓN, CERTIFICACIÓN Y SERVICIO DE MEDICIÓN</t>
  </si>
  <si>
    <t>Visita de inspeccion</t>
  </si>
  <si>
    <t xml:space="preserve">DESCUENTO </t>
  </si>
  <si>
    <t>Visita de Inspección - Bonificación</t>
  </si>
  <si>
    <t xml:space="preserve">CABLEADOS EN CAÑERÍAS </t>
  </si>
  <si>
    <t>Recableado (incluye sacar artef, llaves y colocar nueva instalación) por Boca</t>
  </si>
  <si>
    <t>Otros Descuentos</t>
  </si>
  <si>
    <t>Codigo</t>
  </si>
  <si>
    <t>Fuente</t>
  </si>
  <si>
    <t>Importe neto</t>
  </si>
  <si>
    <t>Notas Aclaratorias</t>
  </si>
  <si>
    <t>Medida</t>
  </si>
  <si>
    <t>Codigo2</t>
  </si>
  <si>
    <t>Potabilidad</t>
  </si>
  <si>
    <t>Ampliacion Potabilidad</t>
  </si>
  <si>
    <t>Notas Aclaratorias en Presupuesto</t>
  </si>
  <si>
    <t>Organización</t>
  </si>
  <si>
    <t>Mostrar</t>
  </si>
  <si>
    <t>00-00</t>
  </si>
  <si>
    <t>EPAC</t>
  </si>
  <si>
    <t>Importe Neto</t>
  </si>
  <si>
    <t>--</t>
  </si>
  <si>
    <t>---</t>
  </si>
  <si>
    <t>Sin nota</t>
  </si>
  <si>
    <t>00-01</t>
  </si>
  <si>
    <t>Documentación Certificación y Servicio de Medición</t>
  </si>
  <si>
    <t>Cuota societaria</t>
  </si>
  <si>
    <t>Valor mensual, si pagas año adelantado se cobra el equivalente a 10 cuotas. Debemos recordarles que las cuotas se deben abonnar del 1 al 10 de cada mes. Las cuotas atrasadas se cobraran al valor del mes en curso.</t>
  </si>
  <si>
    <t>unid.</t>
  </si>
  <si>
    <t>No</t>
  </si>
  <si>
    <t>Epac - 02/2026</t>
  </si>
  <si>
    <t>NO</t>
  </si>
  <si>
    <t>00-02</t>
  </si>
  <si>
    <t xml:space="preserve">Visita de Inspeccion Técnica </t>
  </si>
  <si>
    <t>Gastos para inspección visual, tomar mediciones, realizar diagnóstico y poder emitir presupuesto.</t>
  </si>
  <si>
    <t>Si</t>
  </si>
  <si>
    <t>SI</t>
  </si>
  <si>
    <t>00-03</t>
  </si>
  <si>
    <t>Cert. pilar de obra - Monofasico - no incluye construccion de pilar</t>
  </si>
  <si>
    <t>Componer documentación para subirla al ERSEP y obtener certificado de instalación eléctrica apta / No incluye construcción del pilar.</t>
  </si>
  <si>
    <t>Componer documentación para subirla al ERSEP y obtener certificado de instalación eléctrica apta</t>
  </si>
  <si>
    <t>00-04</t>
  </si>
  <si>
    <t>Cert. pilar de obra -Trifasico - no incluye construccion de pilar</t>
  </si>
  <si>
    <t>00-05</t>
  </si>
  <si>
    <t>Cert. de vivienda o local comercial (hasta 20bocas) no incluye adecuacion de la instalacion</t>
  </si>
  <si>
    <t>Componer documentación para subirla al ERSEP y obtener certificado de instalación eléctrica apta / No incluye adecuación de la instalación.</t>
  </si>
  <si>
    <t>00-06</t>
  </si>
  <si>
    <t>Costo adicional por boca</t>
  </si>
  <si>
    <t>bocas</t>
  </si>
  <si>
    <t>00-07</t>
  </si>
  <si>
    <t>ACOMETIDAS Y TABLEROS</t>
  </si>
  <si>
    <t>Adicional por boca (Certificación)</t>
  </si>
  <si>
    <t>Acometida Trifásica aérea, hasta 10kw con sistema doble aislación</t>
  </si>
  <si>
    <t>Se consideran una ves superadas las 20 contempladas en la Certificación de vivienda o local comercial.</t>
  </si>
  <si>
    <t>00-08</t>
  </si>
  <si>
    <t>Medicion PAT, lu. a vie. dentro del egido urbano de Córdoba capital</t>
  </si>
  <si>
    <t>Para miembros de EPAC con cuota societaria al dia, consultas al 3516130597</t>
  </si>
  <si>
    <t>Necesario Herramientas Especiales</t>
  </si>
  <si>
    <t>Se necesita Telurímetro</t>
  </si>
  <si>
    <t>00-09</t>
  </si>
  <si>
    <t>Acometida Trifásica de 11 a 35kw</t>
  </si>
  <si>
    <t>Medicion PAT, lu. a vie. dentro del fuera urbano de Córdoba capital</t>
  </si>
  <si>
    <t>Para no miembros de EPAC o miembros  sin cuota societaria al dia, consultas al 3516130597</t>
  </si>
  <si>
    <t>Se necesita Telurímetro + Transporte</t>
  </si>
  <si>
    <t>00-10</t>
  </si>
  <si>
    <t>Medicion PAT, adicional por km fuera del egido urbano de Córdoba capital</t>
  </si>
  <si>
    <t>mas valor de peaje para todo solicitante del servicio, el recorrido se considera  ida y vuelta, consultas al 3516130597</t>
  </si>
  <si>
    <t>Se necesita Telurímetro + Transporte largo alcance</t>
  </si>
  <si>
    <t>00-11</t>
  </si>
  <si>
    <t>01-00</t>
  </si>
  <si>
    <t>subtotal (sin desc)</t>
  </si>
  <si>
    <t>01-01</t>
  </si>
  <si>
    <t>Acometidas y Tableros</t>
  </si>
  <si>
    <t>Acometida Monofásica aérea, con sistema doble aislación</t>
  </si>
  <si>
    <t>total descuento</t>
  </si>
  <si>
    <t>Estos importes corresponden a trabajos de acometidas realizadas de acuerdo a los planos típicos suministrados por la empresa distribuidora de energía ET21 de EPEC S/Materiales, sin certificación, no incluye trabajos de albañilería</t>
  </si>
  <si>
    <t>Total Neto</t>
  </si>
  <si>
    <t>Acometidas de acuerdo a los planos típicos según ET21 de EPEC. S/Materiales, S/Certificación, no incluye trabajos de albañilería</t>
  </si>
  <si>
    <t>01-02</t>
  </si>
  <si>
    <t>-</t>
  </si>
  <si>
    <t>Estos importes corresponden a trabajos de acometidas realizadas de acuerdo a los plano típicos suministrados por la empresa distribuidora de energía ET21 de EPEC S/Materiales, sin certificación, no incluye trabajos de albañilería</t>
  </si>
  <si>
    <t>01-03</t>
  </si>
  <si>
    <t>Acometida subterránea, hasta 10kw con sistema doble aislación</t>
  </si>
  <si>
    <t>01-04</t>
  </si>
  <si>
    <t>No corresponde Categoría</t>
  </si>
  <si>
    <t>01-05</t>
  </si>
  <si>
    <t>Acometida Trifásica de 36 a 50kw</t>
  </si>
  <si>
    <t>01-06</t>
  </si>
  <si>
    <t>Acometida Trifásica mas de 50kw</t>
  </si>
  <si>
    <t>01-07</t>
  </si>
  <si>
    <t>Fijación tablero de superficie (hasta 54 bocas)</t>
  </si>
  <si>
    <t>Fijación de gabinete a la pared mediante tarugos Fischer u otro elemento</t>
  </si>
  <si>
    <t>Fijación de gabinete a la pared.</t>
  </si>
  <si>
    <t>Fijación tablero de superficie</t>
  </si>
  <si>
    <t>01-08</t>
  </si>
  <si>
    <t>Empotrado de gabinete en mampostería (de 1 a 24 bocas)</t>
  </si>
  <si>
    <t>Picado de pared y fijación de gabinete mediante mortero, incluye fijación de canalizaciones mediante conectores</t>
  </si>
  <si>
    <t>Necesario Herramientas</t>
  </si>
  <si>
    <t>Empotrado / Fijación de gabinete en mampostería</t>
  </si>
  <si>
    <t>Picado/preparado de pared y fijación de gabinete</t>
  </si>
  <si>
    <t>01-09</t>
  </si>
  <si>
    <t>Empotrado de gabinete en mampostería (de 25 a 54 bocas)</t>
  </si>
  <si>
    <t>01-10</t>
  </si>
  <si>
    <t>Armado de tablero de obra</t>
  </si>
  <si>
    <t>Se considera fijación de tablero a superficie, mas un ID y 2 ITM</t>
  </si>
  <si>
    <t>Fijación de tablero a superficie (1 ID y 2 ITM)</t>
  </si>
  <si>
    <t>01-11</t>
  </si>
  <si>
    <t>Zanjeo x metro ( 25 x 80cm) mas tendido de cable subterraneo hasta 4x10mm y relleno con protecciones mecánicas para longitudes de cable menor a 10 metros</t>
  </si>
  <si>
    <t>Incluye: Zanjeo a 80cm de Prof., colocación de cable, cama de arena,  protección mecánica, llenado de zanja y apisonado. No incluyen Materiales.</t>
  </si>
  <si>
    <t>Palas, cabadoras y apisonadoras, transporte</t>
  </si>
  <si>
    <t>01-12</t>
  </si>
  <si>
    <t>Zanjeo x metro ( 25 x 80cm) mas tendido de cable subterraneo hasta 4x10mm y relleno con protecciones mecánicas para longitudes de cable mayor a 10 metros</t>
  </si>
  <si>
    <t>Incluye: Zanjeo a 80cm de Prof., colocación de cable, cama de arena,  protección mecánica, y llenado de zanja y apisonado</t>
  </si>
  <si>
    <t>01-13</t>
  </si>
  <si>
    <t>Puesta a tierra: jabalina+caja de inspección</t>
  </si>
  <si>
    <t>Incluye: Hincado de jabalina, fijación de caja de inspección , canaleteado de cañería desde tablero a la
c. de inspección (2mts lineal) y conexión del conductos a jabalina, en caso de suelos duros incrementar costo en 30%</t>
  </si>
  <si>
    <t>Martillos en preferencia neumaticos / Acanaladora o amoladora para corte de pared / Instrumentos de albañileria / Determinar riqueza del suelo</t>
  </si>
  <si>
    <t>02-00</t>
  </si>
  <si>
    <t>CANALIZACIÓN EMBUTIDA</t>
  </si>
  <si>
    <t>02-01</t>
  </si>
  <si>
    <t>Canalización Embutido</t>
  </si>
  <si>
    <t>Cañería  PVC rígido y caja de boca (centro, aplique y toma) hasta 50 bocas, Solo MO</t>
  </si>
  <si>
    <t>Para las cajas en losa, estos ítem incluyen los tramos de cañería que llegan o salen de la caja y la caja propiamente dicha. Para cajas en paredes, comprende el canaleteado de un promedio de 3mts de cañería y la caja rectangular, octogonal o cuadrada. Por lo general los tamaños de los tableros son proporcionales a los circuitos de la instalación , y en consecuencia a la cantidad de caños que  acometan al gabinete; por ello el canaleteado y amurado será más complejo y más oneroso cuanto más caños acometan. Las cajas de paso y/o derivación tienen tanto trabajo como una boca (boca definida  por la reglamentación AEA: punto de un circuito terminal, donde se conecta el aparato utilizador por medio de tomacorrientes o por medio de conexiones fijas -uniones o borneras- Considerar que una  boca puede ser a la vez: a) una caja de paso o una caja de derivación con un único circuito, o b)una  caja de paso con más de un circuito, o una caja de derivación con más de un circuito o una caja de   paso y derivación, si están ubicadas a una altura no inferior a 1,8mts. Los criterios generales para la consideración de la instalación de cajas en inmuebles,  están especificadas la reglamentación AEA 90364 parte 7 -771 paginas 42 a 44).</t>
  </si>
  <si>
    <t>02-02</t>
  </si>
  <si>
    <t>Cañería  PVC rígido y caja de paso y/o distribución, hasta 50 bocas, Solo MO</t>
  </si>
  <si>
    <t>02-03</t>
  </si>
  <si>
    <t>Cañería  PVC rígido y Caja para interruptores (punto o combinación) hasta 50 bocas, Solo MO</t>
  </si>
  <si>
    <t>02-04</t>
  </si>
  <si>
    <t xml:space="preserve">                                 Presupuesto</t>
  </si>
  <si>
    <t>Cañería PVC rígido y caja de Boca(centro, aplique y toma) de 51 a 100 bocas, Solo MO</t>
  </si>
  <si>
    <t>Nro Presupuesto</t>
  </si>
  <si>
    <t>02-05</t>
  </si>
  <si>
    <t>Cañería  PVC rígido y caja de paso y/o distribución, de 51 a 100 bocas, Solo MO</t>
  </si>
  <si>
    <t>02-06</t>
  </si>
  <si>
    <t>Cañería  PVC rígido  y Caja para interruptores (punto o combinación) de 51 a 100 bocas, Solo MO</t>
  </si>
  <si>
    <t>02-07</t>
  </si>
  <si>
    <t>Cañería  PVC rígido  y Colocación de TABLERO: multiplicar por 5 (bocas)</t>
  </si>
  <si>
    <t>Fecha</t>
  </si>
  <si>
    <t>02-08</t>
  </si>
  <si>
    <t>Cañería  PVC flexible y caja de Boca (centro, aplique y toma) hasta 50 bocas, Solo MO</t>
  </si>
  <si>
    <t>02-09</t>
  </si>
  <si>
    <t>Cañería  PVC flexible y caja de paso y/o distribución, hasta 50 bocas, Solo MO</t>
  </si>
  <si>
    <t>Cliente</t>
  </si>
  <si>
    <t>02-10</t>
  </si>
  <si>
    <t>Cañería  PVC flexible  y Caja para interruptores (punto o combinación) hasta 50 bocas, Solo MO</t>
  </si>
  <si>
    <t>Dirección obra</t>
  </si>
  <si>
    <t>02-11</t>
  </si>
  <si>
    <t>Cañería PVC flexible y caja de  Boca(centro, aplique y toma) de 51 a 100 bocas, Solo MO</t>
  </si>
  <si>
    <t>02-12</t>
  </si>
  <si>
    <t>Cañería  PVC flexible y caja de paso y/o distribución, de 51 a 100 bocas, Solo MO</t>
  </si>
  <si>
    <t>02-13</t>
  </si>
  <si>
    <t>02-14</t>
  </si>
  <si>
    <t>Cañería  PVC flexible  y Colocación de TABLERO: multiplicar por 5 (Bocas)</t>
  </si>
  <si>
    <t>Subtotal</t>
  </si>
  <si>
    <t>02-15</t>
  </si>
  <si>
    <t>Cañería Metálica y caja de  Boca(centro, aplique y toma) hasta 50 bocas, Solo MO</t>
  </si>
  <si>
    <t>02-16</t>
  </si>
  <si>
    <t>Cañería  Metálica y Caja para interruptores (punto o combinación) hasta 50 bocas, Solo MO</t>
  </si>
  <si>
    <t>02-17</t>
  </si>
  <si>
    <t>Cañería Metálica y caja para interruptores (punto o combinación) hasta 50 bocas, Solo MO</t>
  </si>
  <si>
    <t>02-18</t>
  </si>
  <si>
    <t>Cañería Metálica y caja de  Boca(centro, aplique y toma) de 51 a 100 bocas, Solo MO</t>
  </si>
  <si>
    <t>02-19</t>
  </si>
  <si>
    <t>Cañería  Metálica y caja de paso y/o distribución, de 51 a 100 bocas, Solo MO</t>
  </si>
  <si>
    <t>02-20</t>
  </si>
  <si>
    <t>Cañería Metálica y caja para interruptores (punto o combinación) de 51 a 100 bocas, Solo MO</t>
  </si>
  <si>
    <t>02-21</t>
  </si>
  <si>
    <t>Cañería Metálica + Colocación de TABLERO: multiplicar por 5(Bocas)</t>
  </si>
  <si>
    <t>03-00</t>
  </si>
  <si>
    <t>CANALIZACIÓN EMBUTIDA EN DURLOCK</t>
  </si>
  <si>
    <t>03-01</t>
  </si>
  <si>
    <t xml:space="preserve">Canalización Embutido en Durlock </t>
  </si>
  <si>
    <t>Cañería  PVC rígido de Boca(centro, aplique , toma ,caja de interruptores y de distribución) hasta 50 cajas</t>
  </si>
  <si>
    <t>Las cañerías en Durlock deben rigidizarse correctamente para evitar fallas al momento del cableado.</t>
  </si>
  <si>
    <t>03-02</t>
  </si>
  <si>
    <t>Cañería  Metálica de Boca(centro, aplique , toma, caja de interruptores y de distribución) hasta 50 bocas</t>
  </si>
  <si>
    <t>04-00</t>
  </si>
  <si>
    <t xml:space="preserve">CANALIZACIÓN EXTERIOR </t>
  </si>
  <si>
    <t>04-01</t>
  </si>
  <si>
    <t xml:space="preserve">Canalización Exterior </t>
  </si>
  <si>
    <t>Cañería PVC x Boca (centro, aplique, toma, caja de interruptores y de distribución) hasta 50 bocas</t>
  </si>
  <si>
    <t>Se considera hasta 5m de cañería entre bocas.
Al momento de presupuestar considerar las curvas entre bocas para agregar cajas de paso/derivación, o en caso de columnas/vigas  prever perforación de la misma.
No es recomendable utilizar grampas tipo omega en ambientes húmedos o con polvos en suspensión, para evitar acumulación de agua o polvo entre el caño y el muro. Cuando se exija el empleo de empalmes con cuplas y conectores roscados incrementar el costo en un 25%</t>
  </si>
  <si>
    <t xml:space="preserve">Se considera hasta 5m (lineales) de cañería entre bocas con cajas de paso/derivación incluidos. Perforación de muros no incluido. </t>
  </si>
  <si>
    <t>04-02</t>
  </si>
  <si>
    <t>Cañería PVC x Boca (centro, aplique, toma, caja de interruptores y de distribución) desde 51 hasta 100 bocas</t>
  </si>
  <si>
    <t>04-03</t>
  </si>
  <si>
    <t>Cañería Metálica x Boca (centro, aplique, toma, caja de interruptores y de distribución) hasta 50 bocas</t>
  </si>
  <si>
    <t>Cortantes Metalicos</t>
  </si>
  <si>
    <t>04-04</t>
  </si>
  <si>
    <t>Cañería Metálica x Boca (centro, aplique, toma, caja de interruptores y de distribución) de 51 a 100 bocas</t>
  </si>
  <si>
    <t>04-05</t>
  </si>
  <si>
    <t>Metro adicional (canalización exterior)</t>
  </si>
  <si>
    <t>Solo PVC</t>
  </si>
  <si>
    <t>05-00</t>
  </si>
  <si>
    <t>CANALIZACIÓN DE CABLE CANAL</t>
  </si>
  <si>
    <t>05-01</t>
  </si>
  <si>
    <t>Canalización Cable - Canal</t>
  </si>
  <si>
    <t>Canal. Cable Canal x boca</t>
  </si>
  <si>
    <t>Se considera hasta 4m de cable canal de 14x7 hasta 75x17, incluye instalación de caja y accesorios de instalación.
Al momento de presupuestar tener en cuenta costos de fijación del cable canal (tarugos o pegamentos especiales)
Corresponde a cable canal para servicios de alimentación de 220v, comunicación y red; compartidos en el mismo canal separados por tabique</t>
  </si>
  <si>
    <t>05-02</t>
  </si>
  <si>
    <t>Canal. Cable Canal hasta 50 bocas</t>
  </si>
  <si>
    <t>Hasta 4m de cable canal de 14x7 hasta 75x17, incluye instalación de caja y accesorios de instalación.</t>
  </si>
  <si>
    <t>05-03</t>
  </si>
  <si>
    <t>Canal. Cable Canal de 51 a 100 bocas</t>
  </si>
  <si>
    <t>Se considera hasta 4m de cable canal de 14x7 hasta 75x17, incluye instalación de caja y accesorios de instalación.
al momento de presupuestar tener en cuenta costos de fijación del cable canal (tarugos o pegamentos especiales)
Corresponde a cable canal para servicios de alimentación de 220v, comunicación y red; compartidos en el mismo canal separados por tabique</t>
  </si>
  <si>
    <t>05-04</t>
  </si>
  <si>
    <t>Metro adicional / canal. Cable Canal</t>
  </si>
  <si>
    <t>Cable Canal de 14x7 hasta 75x17</t>
  </si>
  <si>
    <t>06-00</t>
  </si>
  <si>
    <t xml:space="preserve">CANALIZACIÓN Y CABLEADO CON PISO DUCTOS / POLIDUCTOS </t>
  </si>
  <si>
    <t>06-01</t>
  </si>
  <si>
    <t xml:space="preserve">Canalización y Cableado con Piso Ductos / Poliductos </t>
  </si>
  <si>
    <t>Instalación de piso ductos x metros</t>
  </si>
  <si>
    <t>Comprende el armado de canalización con conductos de sección rectangular, con cuplas niveladoras entre tramos, sin relleno de hormigón.</t>
  </si>
  <si>
    <t>06-02</t>
  </si>
  <si>
    <t>Colocación de cajas de piso de tomas y o derivación o curvas verticales o curvas horizontales</t>
  </si>
  <si>
    <t>06-03</t>
  </si>
  <si>
    <t>Colocación de periscopios</t>
  </si>
  <si>
    <t>06-04</t>
  </si>
  <si>
    <t>Cableado por cada vía del piso ducto con cables de alimentación y/o de comunicación</t>
  </si>
  <si>
    <t>06-05</t>
  </si>
  <si>
    <t>Instalación de tomas en periscopios</t>
  </si>
  <si>
    <t>06-06</t>
  </si>
  <si>
    <t>Colocación de Tomas de TV,. Te con cableado</t>
  </si>
  <si>
    <t>06-07</t>
  </si>
  <si>
    <t>Colocación de Tomas de Red con cableado</t>
  </si>
  <si>
    <t>07-00</t>
  </si>
  <si>
    <t>CANALIZACIÓN CON BANDEJAS PORTA CABLES Y PERFIL C</t>
  </si>
  <si>
    <t>07-01</t>
  </si>
  <si>
    <t>Canalización con Bandejas Porta Cables y Perfil C</t>
  </si>
  <si>
    <t>Instalación a altura h&lt;4mts, anchos de bandeja hasta  300mm (escalera o perforada) C/ménsula</t>
  </si>
  <si>
    <t>Costos por tramos de 3m
No incluye el alquiler de andamios, escaleras, elevadores etc.</t>
  </si>
  <si>
    <t>07-02</t>
  </si>
  <si>
    <t>Instalación a altura h&lt;4mts, anchos de bandeja  de 450 y 600mm (escalera o perforada) C/ménsula</t>
  </si>
  <si>
    <t>07-03</t>
  </si>
  <si>
    <t>Instalación a altura h&gt;4mts, anchos de bandeja hasta 300mm (escalera o perforada) C/ménsula</t>
  </si>
  <si>
    <t>07-04</t>
  </si>
  <si>
    <t>Instalación a altura h&gt;4mts, anchos de bandeja de  450 y 600mm (escalera o perforada) C/ménsula</t>
  </si>
  <si>
    <t>07-05</t>
  </si>
  <si>
    <t>07-06</t>
  </si>
  <si>
    <t>Instalación a altura h&lt;4mts con perfil C P/ BPC 450 a 600</t>
  </si>
  <si>
    <t>08-00</t>
  </si>
  <si>
    <t>08-01</t>
  </si>
  <si>
    <t>Cableados en Cañerías</t>
  </si>
  <si>
    <t>Cableado de  Boca (centro, aplique y toma) hasta 50 bocas</t>
  </si>
  <si>
    <t>Este Valor es orientativo si se debe realizar cableado solo, El cableado en cañería es independiente de la cantidad de conductores, pues todos deben pasarse a la misma ves en un solo acto; por lo tanto no diferenciamos entre cableado de bocas de un efecto , de dos o tres, o combinación. La diferencia el costo está en el importe del elemento interruptor a instalarse en las cajas rectangulares.</t>
  </si>
  <si>
    <t>Solo cableado, independientemente de la catidad de conductores.</t>
  </si>
  <si>
    <t>08-02</t>
  </si>
  <si>
    <t>Cableado de  Boca (centro, aplique y toma) de 51 a 100 bocas</t>
  </si>
  <si>
    <t>08-03</t>
  </si>
  <si>
    <t>09-00</t>
  </si>
  <si>
    <t xml:space="preserve">CABLEADO EN BANDEJAS PORTA CABLES </t>
  </si>
  <si>
    <t>09-01</t>
  </si>
  <si>
    <t>Cableado en Bande. Porta - Cables</t>
  </si>
  <si>
    <t>Cableado  de cables  subterráneos hasta 4 x 10mm²  o 1 x 35mm² a h &lt; 4mts (x metros)</t>
  </si>
  <si>
    <t>metros</t>
  </si>
  <si>
    <t>Escalera y/o andamios + Cortantes y Pinzas</t>
  </si>
  <si>
    <t>09-02</t>
  </si>
  <si>
    <t>Cableado  de cables  subterráneos mayores a 4 x 10mm²  o mayores 1 x 35mm² a h &lt; 4mts  (x metros)</t>
  </si>
  <si>
    <t>09-03</t>
  </si>
  <si>
    <t>Cableado  de cables  subterráneos hasta 4 x 10mm²  o 1 x 35mm² a h &gt; 4mts  (xmetros)</t>
  </si>
  <si>
    <t>09-04</t>
  </si>
  <si>
    <t>Cableado  de cables  subterráneos mayores a 4 x 10mm²  o mayores 1 x 35mm² a h &gt; 4mts  (x metros)</t>
  </si>
  <si>
    <t>10-00</t>
  </si>
  <si>
    <t>COLOCACIÓN DE INTERRUPTORES, TOMAS, ETC.</t>
  </si>
  <si>
    <t>10-01</t>
  </si>
  <si>
    <t>Colocación de Interruptores, tomas, etc</t>
  </si>
  <si>
    <t>Instalación de interruptores un efecto y/o pulsadores entre 1 y 10 bocas</t>
  </si>
  <si>
    <t>Importante: solo se admite la instalación de "punto más toma" en una caja rectangular en los baños de inmuebles. El toma ira conectado al circuito de iluminación. Las reglas del buen arte recomienda colocar el tomacorriente en una caja rectangular, en la zona 3 y conectado a un circuito de tomacorrientes.</t>
  </si>
  <si>
    <t>Punto y toma perteneciente al baño en zona 3, cada uno conectado a su circuito.</t>
  </si>
  <si>
    <t>10-02</t>
  </si>
  <si>
    <t>Instalación de interruptores un efecto y/o pulsadores mas de 11 bocas</t>
  </si>
  <si>
    <t>10-03</t>
  </si>
  <si>
    <t>Instalación de interruptores un efecto combinación</t>
  </si>
  <si>
    <t>10-04</t>
  </si>
  <si>
    <t>Instalación de tomacorrientes simple entre 1 y 10 bocas</t>
  </si>
  <si>
    <t>10-05</t>
  </si>
  <si>
    <t>Notas Aclaratorias por codigos</t>
  </si>
  <si>
    <t>Instalación de tomacorrientes simple mas de 11 bocas</t>
  </si>
  <si>
    <t>10-06</t>
  </si>
  <si>
    <t>Instalación de tomacorrientes dobles entre 1 y 10 bocas</t>
  </si>
  <si>
    <t>10-07</t>
  </si>
  <si>
    <t>Instalación de tomacorrientes dobles mas de 11 bocas</t>
  </si>
  <si>
    <t>10-08</t>
  </si>
  <si>
    <t>Instalación de tomacorrientes cuádruples en cajas 100x100</t>
  </si>
  <si>
    <t xml:space="preserve">Subtotal </t>
  </si>
  <si>
    <t>10-09</t>
  </si>
  <si>
    <t>Instalación de interruptores un efecto combinación doble</t>
  </si>
  <si>
    <t>Descuentos</t>
  </si>
  <si>
    <t>10-10</t>
  </si>
  <si>
    <t>Instalación de interruptores un efecto  doble</t>
  </si>
  <si>
    <t>10-11</t>
  </si>
  <si>
    <t>Instalación de interruptores un efecto  triple</t>
  </si>
  <si>
    <t>Formas De Pago</t>
  </si>
  <si>
    <t>10-12</t>
  </si>
  <si>
    <t>Instalación de Regulador de velocidad ventilador o dimmer de Intensidad</t>
  </si>
  <si>
    <t>Efectivo / Transferencia / QR</t>
  </si>
  <si>
    <t>No incluye cableado y/o instalación de ventilador</t>
  </si>
  <si>
    <t>10-13</t>
  </si>
  <si>
    <t>Instalación de Interruptor cuatro vías</t>
  </si>
  <si>
    <t xml:space="preserve">Cuotas, hasta 3 y 6 sin interés </t>
  </si>
  <si>
    <t>Con Mercado Pago</t>
  </si>
  <si>
    <t>10-14</t>
  </si>
  <si>
    <t>Instalación de sensores de humo, gases, inundación, etc. en caja rect.</t>
  </si>
  <si>
    <t>¡Electricidad Segura, Hogar Tranquilo!</t>
  </si>
  <si>
    <t>11-00</t>
  </si>
  <si>
    <t>COLOCACIÓN DE ARTEFACTOS</t>
  </si>
  <si>
    <t>11-01</t>
  </si>
  <si>
    <t xml:space="preserve">Colocación de Artefactos </t>
  </si>
  <si>
    <t>Colocación de Artefacto tipo(aplique, extractores de baño, campanillas, etc.)</t>
  </si>
  <si>
    <t>Verificar la protección individual de cada artefacto (con fusibles ), pues la sección de los conductores  del cableado interno del artefacto no están protegidos por  los dispositivos instalados en los tableros . Estos interruptores están dimensionados según los conductores instalados en las canalizaciones. Por ejemplo una luminaria de tubos fluorescentes tienen conductores en su cableado interno de 0,5 mm2, y está conectado a un circuito con protecciones termomagnéticos de 2x10A, Es necesario entonces colocar un fusible de por lo menos 1A para evitar recalentamiento del cableado interno , posible foco de incendio. no contempla medios de elevación. Para elcaso de tiras led en perfil de aluminio incluye instalacion de la fuente correspondiente</t>
  </si>
  <si>
    <t>11-02</t>
  </si>
  <si>
    <t>Luminarias exterior montada en columna hasta 3 mts</t>
  </si>
  <si>
    <t>11-03</t>
  </si>
  <si>
    <t>Luminarias exterior montada en Brazos hasta 4mts de altura amurado a pared o columna</t>
  </si>
  <si>
    <t>11-04</t>
  </si>
  <si>
    <t>Luminarias exterior de aplicar en muro en intemperie (Ipx5 o Ipx6)</t>
  </si>
  <si>
    <t>11-05</t>
  </si>
  <si>
    <t>Spot Dicroica y/ halo spot con Trafo embutido ver ventilación trafo</t>
  </si>
  <si>
    <t>11-06</t>
  </si>
  <si>
    <t>Spot Incandescente de aplicar</t>
  </si>
  <si>
    <t>11-07</t>
  </si>
  <si>
    <t>Ventilador de techo (Incluye el tendido de conductor para el regulador de velocidad)</t>
  </si>
  <si>
    <t>11-08</t>
  </si>
  <si>
    <t>Instalacion de tiras led en perfil de aluminio, por tramos de hasta 3mts</t>
  </si>
  <si>
    <t>11-09</t>
  </si>
  <si>
    <t>Plafones embutidos en cielorraso de Durlock</t>
  </si>
  <si>
    <t>11-10</t>
  </si>
  <si>
    <t>Luminaria en intemperie amurado a pared</t>
  </si>
  <si>
    <t>11-11</t>
  </si>
  <si>
    <t>Luminarias &lt;1m en tierra con construcción de base de hormigón (no incluye tendido de cable subterráneo]</t>
  </si>
  <si>
    <t>11-12</t>
  </si>
  <si>
    <t>Luminarias &lt;1m en tierra sin construcción de base de hormigón (no incluye tendido de cable subterráneo]</t>
  </si>
  <si>
    <t>11-13</t>
  </si>
  <si>
    <t>Luminarias de piletas de natación y/o fuentes</t>
  </si>
  <si>
    <t>11-14</t>
  </si>
  <si>
    <t>Instalación de  artefacto de iluminación con fotocélula individual</t>
  </si>
  <si>
    <t>11-15</t>
  </si>
  <si>
    <t>Instalación de luz de emergencia</t>
  </si>
  <si>
    <t>11-16</t>
  </si>
  <si>
    <t>Sistema autónoma para incorporar a artefacto</t>
  </si>
  <si>
    <t>11-17</t>
  </si>
  <si>
    <t>Armado y Colocación de luminarias a  &gt;6mts. De altura</t>
  </si>
  <si>
    <t>12-00</t>
  </si>
  <si>
    <t xml:space="preserve">Colocación de Elementos de Comando y Protección </t>
  </si>
  <si>
    <t>Instalación Interruptor Diferencial Bipolar en tablero nuevo</t>
  </si>
  <si>
    <t>COLOCACIÓN DE ELEMENTOS DE PROTECCIÓN Y COMANDO</t>
  </si>
  <si>
    <t>12-01</t>
  </si>
  <si>
    <t>Instalación Interruptor Termomagnético Bipolar en tablero nuevo</t>
  </si>
  <si>
    <t>12-02</t>
  </si>
  <si>
    <t>Instalación Interruptor Diferencial tetrapolar en el armado de tablero nuevo</t>
  </si>
  <si>
    <t>12-03</t>
  </si>
  <si>
    <t>Instalación Interruptor Termomagnético tetrapolar en el armado de tablero nuevo</t>
  </si>
  <si>
    <t>12-04</t>
  </si>
  <si>
    <t>Instalación Interruptor Diferencial Bipolar en tablero existente</t>
  </si>
  <si>
    <t>No Incluye la prevención de revisión y reparación de defectos(fugas de corriente)</t>
  </si>
  <si>
    <t>12-05</t>
  </si>
  <si>
    <t>Instalación Interruptor Diferencial Tetrapolar en tablero existente</t>
  </si>
  <si>
    <t>12-06</t>
  </si>
  <si>
    <t>Instalación Protector de sobretensiones por descargas atmosféricas monofásicos</t>
  </si>
  <si>
    <t>Incluye Interruptor termomagnético, protector y barra equipotencial a conectarse si esta no existiera.</t>
  </si>
  <si>
    <t>12-07</t>
  </si>
  <si>
    <t>Instalación Protector de sobretensiones por descargas atmosféricas trifásicos</t>
  </si>
  <si>
    <t>12-08</t>
  </si>
  <si>
    <t>Instalación Protector de sub y sobretensiones  monofásicos</t>
  </si>
  <si>
    <t>Incluye relé monitor de sub-sobre tensión más contactor o bobina de disparo sobre interruptor termomagnético</t>
  </si>
  <si>
    <t>12-09</t>
  </si>
  <si>
    <t>Instalación Protector de sub y sobretensiones  trifásicos</t>
  </si>
  <si>
    <t>12-10</t>
  </si>
  <si>
    <t>Instalación contactor inversor para control de circuitos esenciales y no esenciales</t>
  </si>
  <si>
    <t>Incluye dos contactores formato din con contactos auxiliares para enclavamiento</t>
  </si>
  <si>
    <t>12-11</t>
  </si>
  <si>
    <t>Armado e instalación de Tablero de comando de bomba de agua edificio departamentos</t>
  </si>
  <si>
    <t>Incluye el armado de tablero de comando y maniobra del motor de la bomba  de agua con tensiones de comando de 24vca o menor</t>
  </si>
  <si>
    <t>12-12</t>
  </si>
  <si>
    <t>Armado e instalación de Tablero de comando de bomba de agua domiciliaria</t>
  </si>
  <si>
    <t>12-13</t>
  </si>
  <si>
    <t>Instalación de sistema de automatización de bombeo (automáticos de tanque y cisterna)</t>
  </si>
  <si>
    <t>12-14</t>
  </si>
  <si>
    <t>Instalación de sistema de automatización de cartelería</t>
  </si>
  <si>
    <t>Incluye el armado de tablero con protecciones, contactor y temporizador y/o foto control</t>
  </si>
  <si>
    <t>12-15</t>
  </si>
  <si>
    <t>Instalación de interruptor de escalera en caja rectangular</t>
  </si>
  <si>
    <t>12-16</t>
  </si>
  <si>
    <t>Instalación de interruptor de escalera en tablero</t>
  </si>
  <si>
    <t>12-17</t>
  </si>
  <si>
    <t>Instalación de pararrayos hasta 5 pisos H &lt;= 20mts</t>
  </si>
  <si>
    <t>Incluye: instalación de pararrayo, cable de bajada en cañería desde 2 mts de altura amurada cada 1,5nmts, colocación de barra equipotencial, hincado de tres jabalinas y su conexión a barra equipotencial</t>
  </si>
  <si>
    <t>13-00</t>
  </si>
  <si>
    <t>TABLERO DE COMANDO DE MOTORES</t>
  </si>
  <si>
    <t>13-01</t>
  </si>
  <si>
    <t xml:space="preserve">Tablero de Comando y Motores </t>
  </si>
  <si>
    <t>1 arranque directo</t>
  </si>
  <si>
    <t>Estos tableros incluyen los siguientes elementos: Gabinete, interruptor de cabecera, bornera de distribución (si es necesario), protección contra corto circuito y sobrecarga (Guardamotor o fusibles+ relé térmico), contactor, protector por falta de fase, cable canal ranurado, borneras de entrada y salida, pilotos luminosos, llaves de comando (arranque, selectora manual - automático, etc. ) más accesorios</t>
  </si>
  <si>
    <t>13-02</t>
  </si>
  <si>
    <t>2 arranques directos</t>
  </si>
  <si>
    <t>13-03</t>
  </si>
  <si>
    <t>3 arranques directos</t>
  </si>
  <si>
    <t>13-04</t>
  </si>
  <si>
    <t>4 arranques directos</t>
  </si>
  <si>
    <t>13-05</t>
  </si>
  <si>
    <t>5 arranques directos</t>
  </si>
  <si>
    <t>13-06</t>
  </si>
  <si>
    <t>Mas de 5 arranques con automatismo</t>
  </si>
  <si>
    <t>Ídem anterior más módulo lógico programable con sus accesorios</t>
  </si>
  <si>
    <t>13-07</t>
  </si>
  <si>
    <t>Tablero de comando de sistema de purificación de aguas de pileta +  iluminación</t>
  </si>
  <si>
    <t>Comprende un arranque directo para bomba de filtro y transformador Clase II para iluminación con sus respectivas elementos de protecciones y maniobra</t>
  </si>
  <si>
    <t>13-08</t>
  </si>
  <si>
    <t>Tablero de comando de sistema riego automatizado 4 circuitos (con Autómatas programables)</t>
  </si>
  <si>
    <t>Tablero de arranque directo de una bomba más comando de electroválvulas con autómata programable</t>
  </si>
  <si>
    <t>13-09</t>
  </si>
  <si>
    <t>Tablero arranque estrella triangulo hasta 10 hp</t>
  </si>
  <si>
    <t>Incluyen: Conexión de: interruptor de cabecera, bornera de distribución,  protección contra corto circuito y sobrecarga (Guardamotor o fusibles+ relé térmico), contactores, protector por falta de fase, protector contra sobretensiones transitorias (pararrayos) y accesorios</t>
  </si>
  <si>
    <t>13-10</t>
  </si>
  <si>
    <t>Tablero arranque estrella triangulo hasta 30 hp</t>
  </si>
  <si>
    <t>13-11</t>
  </si>
  <si>
    <t>Tablero arranque estrella triangulo hasta 100 hp</t>
  </si>
  <si>
    <t>13-12</t>
  </si>
  <si>
    <t>Tablero de medidores hasta 5 medidores</t>
  </si>
  <si>
    <t>Agregado el 01/08/2022, colocar notas aclaratorias</t>
  </si>
  <si>
    <t>13-13</t>
  </si>
  <si>
    <t>Tablero de medidores hasta 10 medidores</t>
  </si>
  <si>
    <t>13-14</t>
  </si>
  <si>
    <t>Tablero de medidores hasta 16 medidores</t>
  </si>
  <si>
    <t>14-00</t>
  </si>
  <si>
    <t xml:space="preserve">EMERGENCIAS </t>
  </si>
  <si>
    <t>14-01</t>
  </si>
  <si>
    <t xml:space="preserve">Emergencias </t>
  </si>
  <si>
    <t>Lunes a viernes hasta 5km (tiempo máx. 4 horas)</t>
  </si>
  <si>
    <t>La tarea incluye:
1)Traslado al lugar de la emergencia.
2) Reparación de la anomalía.
3) Retorno al punto de partida.
La tarifa adicional por hora se cobra una vez cumplido el tiempo máximo</t>
  </si>
  <si>
    <t>14-02</t>
  </si>
  <si>
    <t>Lunes a viernes hasta 10km (tiempo máx. 4 horas 30 minutos)</t>
  </si>
  <si>
    <t>14-03</t>
  </si>
  <si>
    <t>Lunes a viernes hasta 20km (Tiempo máx. 5 horas)</t>
  </si>
  <si>
    <t>14-04</t>
  </si>
  <si>
    <t>Lunes a viernes, costo adicional por hora</t>
  </si>
  <si>
    <t>14-05</t>
  </si>
  <si>
    <t>Sábado, domingo o feriado hasta 5km (tiempo máx. 4 horas)</t>
  </si>
  <si>
    <t>14-06</t>
  </si>
  <si>
    <t>Sábado, domingo o feriado hasta 10km (Tiempo máx. 4 horas 30 minutos)</t>
  </si>
  <si>
    <t>14-07</t>
  </si>
  <si>
    <t>Sábado, domingo o feriado hasta 20km (Tiempo máx. 5 horas)</t>
  </si>
  <si>
    <t>14-08</t>
  </si>
  <si>
    <t>Sábado, domingo o feriado, costo adicional por hora</t>
  </si>
  <si>
    <t>15-00</t>
  </si>
  <si>
    <t>MANTENIMIENTO DE TABLEROS ELÉCTRICOS E INSTALACIONES ELECTRICAS</t>
  </si>
  <si>
    <t>15-01</t>
  </si>
  <si>
    <t xml:space="preserve">Mantenimiento de Tableros e Instalaciones Eléctricas </t>
  </si>
  <si>
    <t>Hasta 20 polos</t>
  </si>
  <si>
    <t>Revisión y verificación de calibre de conductores, estado de las aislaciones y torque en los bornes de conexión, limpieza general</t>
  </si>
  <si>
    <t>15-02</t>
  </si>
  <si>
    <t>hasta 50 polos</t>
  </si>
  <si>
    <t>15-03</t>
  </si>
  <si>
    <t>hasta 100 polos</t>
  </si>
  <si>
    <t>15-04</t>
  </si>
  <si>
    <t>arranque directo con contactores</t>
  </si>
  <si>
    <t>15-05</t>
  </si>
  <si>
    <t>verificación de las condiciones de seguridad para protección de las personas (importe básico)</t>
  </si>
  <si>
    <t>Verificación de accionamiento de interruptores diferenciales, tiempo de disparo y ensayo en circuitos terminales con dispositivos de prueba</t>
  </si>
  <si>
    <t>15-06</t>
  </si>
  <si>
    <t>Medición y verificación de resistencia del sistema puesta a tierra (x jabalina)</t>
  </si>
  <si>
    <t>Estas mediciones deben realizarse con instrumentos homologados por institutos o empresas autorizadas y según protocolo aprobado por el órgano de aplicación</t>
  </si>
  <si>
    <t>15-07</t>
  </si>
  <si>
    <t>Verificación de resistencia de aislación de instalaciones</t>
  </si>
  <si>
    <t>15-08</t>
  </si>
  <si>
    <t>medición de la impedancia del lazo de falla</t>
  </si>
  <si>
    <t>16-00</t>
  </si>
  <si>
    <t xml:space="preserve">VARIOS BAJA TENSIÓN </t>
  </si>
  <si>
    <t>16-01</t>
  </si>
  <si>
    <t xml:space="preserve">Varios Baja Tensión </t>
  </si>
  <si>
    <t>Cargo por diseño de instalación sin planos hasta 10 bocas con computo de materiales</t>
  </si>
  <si>
    <t>Muchas veces encaramos un trabajo sin proyecto de un profesional, o bien, nos solicitan la obra eléctrica fuera del proyecto original. En esta situación debemos agregar a nuestro trabajo manual un trabajo intelectual para desarrollar el proyecto según el requerimiento de quien nos contrata y por razones lógicas debemos efectuarlo en los tiempos adicionales a los que presupuestamos, en consecuencia debe determinarse su costo</t>
  </si>
  <si>
    <t>16-02</t>
  </si>
  <si>
    <t>Cargo por diseño de instalación sin planos hasta 25 bocas con computo de materiales</t>
  </si>
  <si>
    <t>16-03</t>
  </si>
  <si>
    <t>Cargo por diseño de instalación sin planos hasta 50 bocas con computo de materiales</t>
  </si>
  <si>
    <t>16-04</t>
  </si>
  <si>
    <t>Cargo por diseño de instalación sin planos hasta 100 bocas con computo de materiales</t>
  </si>
  <si>
    <t>16-05</t>
  </si>
  <si>
    <t>Cargo por diseño de instalación sin planos hasta 150 bocas con computo de materiales</t>
  </si>
  <si>
    <t>16-06</t>
  </si>
  <si>
    <t>Cargo por adquisición de materiales eléctricos para la obra (en porcentaje sobre total de materiales)</t>
  </si>
  <si>
    <t>Se calcula en base al importe de materiales gestionados, adoptándose un valor correspondiente al tiempo requerido para realizar dichas gestiones.</t>
  </si>
  <si>
    <t>16-07</t>
  </si>
  <si>
    <t>Sensores de movimiento y/o presencia</t>
  </si>
  <si>
    <t>16-08</t>
  </si>
  <si>
    <t>Empalme de cables subterráneos</t>
  </si>
  <si>
    <t>A realizarse con empalmes certificados con resina u otros tipos</t>
  </si>
  <si>
    <t>16-09</t>
  </si>
  <si>
    <t>Reparación de luminarias en altura &gt;4m</t>
  </si>
  <si>
    <t>16-10</t>
  </si>
  <si>
    <t>Reparación de artefactos de tubos fluorescentes</t>
  </si>
  <si>
    <t>16-11</t>
  </si>
  <si>
    <t>Revisión de fugas de corriente en instalaciones monofásicas mínimo 1 hora</t>
  </si>
  <si>
    <t>Verificación de la aislación de los conductores con megohmetro. Revisión de empalmes y sus aislaciones. Control de artefactos de iluminación y electrodomésticos. Etc.</t>
  </si>
  <si>
    <t>16-12</t>
  </si>
  <si>
    <t>Revisión de fugas de corriente en instalaciones trifásicas mínimo 1 hora</t>
  </si>
  <si>
    <t>16-13</t>
  </si>
  <si>
    <t>incremento por hora en revisión de fugas de corriente</t>
  </si>
  <si>
    <t>16-14</t>
  </si>
  <si>
    <t>Conexión de motores monofásicos</t>
  </si>
  <si>
    <t>16-15</t>
  </si>
  <si>
    <t>Colocación de interruptores para cortinas</t>
  </si>
  <si>
    <t>Interruptores conmutadores para cambio de giro de motor</t>
  </si>
  <si>
    <t>16-16</t>
  </si>
  <si>
    <t>Conexión de cartelería con interruptores horarios y/o fotocélulas</t>
  </si>
  <si>
    <t>16-17</t>
  </si>
  <si>
    <t>Conexión de paneles solares</t>
  </si>
  <si>
    <t>Incluye fijación de panel, conexión de baterías e inversores de tensión</t>
  </si>
  <si>
    <t>16-18</t>
  </si>
  <si>
    <t>Tablero con automatización de 4 canales (LOGO, ARRAY, ZELIO)</t>
  </si>
  <si>
    <t>Incluye el armado del tablero, la programación del autómata y la puesta en funcionamiento en el lugar de instalación</t>
  </si>
  <si>
    <t>16-19</t>
  </si>
  <si>
    <t>Tablero con automatización de 8 canales (LOGO, ARRAY, ZELIO)</t>
  </si>
  <si>
    <t>16-20</t>
  </si>
  <si>
    <t>Instalación de aire Split hasta 3500 frigorías S/instalación eléctrica</t>
  </si>
  <si>
    <t>costos de mano de obra sin material</t>
  </si>
  <si>
    <t>16-21</t>
  </si>
  <si>
    <t>Instalación de aire Split hasta 5000 frigorías S/instalación eléctrica</t>
  </si>
  <si>
    <t>16-22</t>
  </si>
  <si>
    <t>Tablero de corrección de factor de potencia monofásico hasta 2 Kvar</t>
  </si>
  <si>
    <t>Incluye el calculo y determinación de batería de capacitores, gabinete, protecciones y señalización</t>
  </si>
  <si>
    <t>16-23</t>
  </si>
  <si>
    <t>Tablero de corrección de factor de potencia trifásico directo hasta 10 Kvar</t>
  </si>
  <si>
    <t>16-24</t>
  </si>
  <si>
    <t>Tablero de corrección de factor de potencia trifásico directo hasta 20 Kvar</t>
  </si>
  <si>
    <t>16-25</t>
  </si>
  <si>
    <t>Tablero de corrección de factor de potencia trifásico con contactor hasta 10 Kvar</t>
  </si>
  <si>
    <t>incluye el calculo y determinación de batería de capacitores, gabinete, protecciones, maniobra con contactor (si es requerido) y temporizador mas señalización.</t>
  </si>
  <si>
    <t>16-26</t>
  </si>
  <si>
    <t>Tablero de corrección de factor de potencia trifásico con contactor hasta 20 Kvar</t>
  </si>
  <si>
    <t>16-27</t>
  </si>
  <si>
    <t>Tablero de corrección de factor de potencia automático hasta 50Kvar 6 pasos</t>
  </si>
  <si>
    <t>incluye el calculo y determinación de batería de capacitores, gabinete, protecciones, maniobra con contactor (si es requerido) y relé batimétrico mas señalización.</t>
  </si>
  <si>
    <t>16-28</t>
  </si>
  <si>
    <t>Tablero de corrección de factor de potencia automático hasta 100Kvar 6 pasos</t>
  </si>
  <si>
    <t>16-29</t>
  </si>
  <si>
    <t>Tablero de corrección de factor de potencia automático hasta 150Kvar 6 pasos</t>
  </si>
  <si>
    <t>17-00</t>
  </si>
  <si>
    <t>COLOCACIÓN DE PORTERO ELÉCTRICO UNIFAMILIAR</t>
  </si>
  <si>
    <t>17-01</t>
  </si>
  <si>
    <t>Colocación de Portero Eléctrico Unifamiliar</t>
  </si>
  <si>
    <t>Portero de un pulsador en domicilio hasta 20m</t>
  </si>
  <si>
    <t>No incluye canalización, se supone la existencia de la misma. Si no hay canalización, cotizarla</t>
  </si>
  <si>
    <t>17-02</t>
  </si>
  <si>
    <t>Portero de un pulsador con dos teléfonos en domicilio hasta 20m</t>
  </si>
  <si>
    <t>17-03</t>
  </si>
  <si>
    <t>Por elementos adicionales (teléfono, cerradura, repetidos,etc)</t>
  </si>
  <si>
    <t>17-04</t>
  </si>
  <si>
    <t>Colocación de portero eléctrico unifamiliar (audio video)</t>
  </si>
  <si>
    <t>17-05</t>
  </si>
  <si>
    <t>Por elementos adicionales portero con video (teléfono, cerradura, repetidos,etc)</t>
  </si>
  <si>
    <t>18-00</t>
  </si>
  <si>
    <t>COLOCACIÓN DE PORTERO ELÉCTRICO EN EDIFICIO (AUDIO SOLO) MULTIFAMILIAR</t>
  </si>
  <si>
    <t>18-01</t>
  </si>
  <si>
    <t>Colocación de Portero Eléctrico Multifamiliar (edificio - audio solo)</t>
  </si>
  <si>
    <t>Instalación de frente</t>
  </si>
  <si>
    <t>18-02</t>
  </si>
  <si>
    <t>Cableado por departamento</t>
  </si>
  <si>
    <t>18-03</t>
  </si>
  <si>
    <t>Cableado de línea troncal por caja de derivación</t>
  </si>
  <si>
    <t>18-04</t>
  </si>
  <si>
    <t>Colocación de teléfonos</t>
  </si>
  <si>
    <t>18-05</t>
  </si>
  <si>
    <t>Cerradura eléctrica</t>
  </si>
  <si>
    <t>19-00</t>
  </si>
  <si>
    <t>SISTEMAS DE SEGURIDAD</t>
  </si>
  <si>
    <t>19-01</t>
  </si>
  <si>
    <t xml:space="preserve">Sistemas de Seguridad </t>
  </si>
  <si>
    <t>Cableado de cámaras de seguridad por boca</t>
  </si>
  <si>
    <t>19-02</t>
  </si>
  <si>
    <t>Central hasta 6 cámaras de seguridad</t>
  </si>
  <si>
    <t>19-03</t>
  </si>
  <si>
    <t>Central de 6 a 18 cámaras</t>
  </si>
  <si>
    <t>19-04</t>
  </si>
  <si>
    <t>Central de CCTV</t>
  </si>
  <si>
    <t>20-00</t>
  </si>
  <si>
    <t xml:space="preserve">VARIOS CORRIENTES DÉBILES </t>
  </si>
  <si>
    <t>20-01</t>
  </si>
  <si>
    <t xml:space="preserve">Varios Corrientes Débiles </t>
  </si>
  <si>
    <t>Cableado de red, teléfono o tv x metro en cañería o cable canal</t>
  </si>
  <si>
    <t>20-02</t>
  </si>
  <si>
    <t>Cableado de red, teléfono o tv x metro en bandeja a &lt;4m de altura</t>
  </si>
  <si>
    <t>20-03</t>
  </si>
  <si>
    <t>Cableado de red, teléfono o tv x metro en bandeja a &gt;4m de altura</t>
  </si>
  <si>
    <t>20-04</t>
  </si>
  <si>
    <t>Colocación de fichas o tomas de teléfono o tv</t>
  </si>
  <si>
    <t>20-05</t>
  </si>
  <si>
    <t>Colocación de derivadores TV</t>
  </si>
  <si>
    <t>20-06</t>
  </si>
  <si>
    <t>Colocación de fichas o tomas de red</t>
  </si>
  <si>
    <t>20-07</t>
  </si>
  <si>
    <t>Colocación de tomas de TV y teléfono con cableado hasta 20m</t>
  </si>
  <si>
    <t>20-08</t>
  </si>
  <si>
    <t>Colocación de tomas de red con cableado hasta 20m</t>
  </si>
  <si>
    <t>21-00</t>
  </si>
  <si>
    <t>COMPUESTO DE INSTALACONES EMBUTIDAS</t>
  </si>
  <si>
    <t>21-01</t>
  </si>
  <si>
    <t xml:space="preserve">Compuesto Instalaciones Embutidas </t>
  </si>
  <si>
    <t>Instalación de una boca de tomacorriente simple con cañería metálica (hasta 50bocas)</t>
  </si>
  <si>
    <t>Suma de items 2,8 y10,  Para las cajas en losa, estos ítem incluyen los tramos de cañería que llegan o salen de la caja y la caja propiamente dicha. Para cajas en paredes, comprende el canaleteado de un promedio de 3mts de cañería y la caja rectangular, octogonal o cuadrada. Por lo general los tamaños  de los tableros son proporcionales a los circuitos de la instalación , y en consecuencia a la cantidad de caños que acometan al gabinete; por ello el canaleteado y amurado será más complejo y más oneroso cuanto más caños acometan. Las cajas de paso y/o derivación tienen tanto trabajo como una boca  (boca definida por la reglamentación AEA: punto de un circuito terminal, donde se conecta el aparato utilizador por medio de tomacorrientes o por medio de conexiones fijas -uniones o borneras- Considerar que una boca puede ser a la vez: a) una caja de paso o una caja de derivación con un único circuito, o
b)una caja de paso con más de un circuito, o una caja de derivación con más de un circuito o una caja de paso y derivación, si están ubicadas a una altura no inferior a 1,8mts. Los criterios generales para la consideración de la instalación de cajas en inmuebles,  están especificadas la reglamentación AEA 90364 parte 7 -771 paginas 42 a 44).</t>
  </si>
  <si>
    <t>21-02</t>
  </si>
  <si>
    <t>Instalación de una boca de tomacorriente doble con cañería metálica (hasta 50 bocas)</t>
  </si>
  <si>
    <t>21-03</t>
  </si>
  <si>
    <t>Instalación de una boca de iluminación con interruptor simple en cañería metálica (hasta 50 bocas)</t>
  </si>
  <si>
    <t>21-04</t>
  </si>
  <si>
    <t>Instalación de una boca de iluminación con interruptor combinación en cañería metálica (hasta 50 bocas)</t>
  </si>
  <si>
    <t>21-05</t>
  </si>
  <si>
    <t>Instalación de una boca de tomacorriente simple con cañería metálica (de 51 a 100 bocas)</t>
  </si>
  <si>
    <t>21-06</t>
  </si>
  <si>
    <t>Instalación de una boca de tomacorriente doble con cañería metálica (de 51 a 100 bocas)</t>
  </si>
  <si>
    <t>21-07</t>
  </si>
  <si>
    <t>Instalación de una boca de iluminación con interruptor simple en cañería metálica (de 51 a 100 bocas)</t>
  </si>
  <si>
    <t>21-08</t>
  </si>
  <si>
    <t>Instalación de una boca de iluminación con interruptor combinación en cañería metálica (de 51 a 100 bocas)</t>
  </si>
  <si>
    <t>21-09</t>
  </si>
  <si>
    <t>Instalación de una boca de tomacorriente simple con cañería PVC flexible (hasta 50bocas)</t>
  </si>
  <si>
    <t>21-10</t>
  </si>
  <si>
    <t>Instalación de una boca de tomacorriente doble con cañería PVC flexible (hasta 50 bocas)</t>
  </si>
  <si>
    <t>21-11</t>
  </si>
  <si>
    <t>Instalación de una boca de iluminación con interruptor simple en cañería PVC flexible (hasta 50 bocas)</t>
  </si>
  <si>
    <t>21-12</t>
  </si>
  <si>
    <t>Instalación de una boca de iluminación con interruptor combinación en cañería  PVC flexible (hasta 50 bocas)</t>
  </si>
  <si>
    <t>21-13</t>
  </si>
  <si>
    <t>Instalación de una boca de tomacorriente simple con cañería PVC flexible (de 51 a 100 bocas)</t>
  </si>
  <si>
    <t>21-14</t>
  </si>
  <si>
    <t>Instalación de una boca de tomacorriente doble con cañería PVC flexible (de 51 a 100 bocas)</t>
  </si>
  <si>
    <t>21-15</t>
  </si>
  <si>
    <t>Instalación de una boca de iluminación con interruptor simple en cañería PVC flexible (de 51 a 100 bocas)</t>
  </si>
  <si>
    <t>21-16</t>
  </si>
  <si>
    <t>Instalación de una boca de iluminación con interruptor combinación en cañería PVC flexible (de 51 a 100 bocas)</t>
  </si>
  <si>
    <t>22-00</t>
  </si>
  <si>
    <t xml:space="preserve">COMPUESTO DE CANALIZACIÓN EXTERIOR </t>
  </si>
  <si>
    <t>22-01</t>
  </si>
  <si>
    <t>Compuesto Instalaciones a la Vista</t>
  </si>
  <si>
    <t>Suma de items 4,8 y10,  Se considera hasta 5m de cañería entre bocas.
al momento de presupuestar considerar las curvas entre bocas para agregar cajas de paso/derivación, o en caso de columnas/vigas  prever perforación de la misma.
No es recomendable utilizar grampas tipo omega en ambientes húmedos o con polvos en suspensión, para evitar acumulación de agua o polvo entre el caño y el muro. Cuando se exija el empleo de empalmes con cuplas y conectores roscados incrementar el costo en un 25% y tener en cuenta metros adicionales sumando $4876 por cada uno de ellos segun se indica en item 04-05</t>
  </si>
  <si>
    <t>22-02</t>
  </si>
  <si>
    <t>Instalación de una boca de tomacorriente doble con cañería metálica(hasta 50 bocas)</t>
  </si>
  <si>
    <t>22-03</t>
  </si>
  <si>
    <t>22-04</t>
  </si>
  <si>
    <t>22-05</t>
  </si>
  <si>
    <t>22-06</t>
  </si>
  <si>
    <t>Instalación de una boca de tomacorriente doble con cañería metálica(de 51 a 100 bocas)</t>
  </si>
  <si>
    <t>22-07</t>
  </si>
  <si>
    <t>22-08</t>
  </si>
  <si>
    <t>22-09</t>
  </si>
  <si>
    <t>Instalación de una boca de tomacorriente simple con cañería PVC rígido (hasta 50bocas)</t>
  </si>
  <si>
    <t>22-10</t>
  </si>
  <si>
    <t>Instalación de una boca de tomacorriente doble con cañería PVC rígido (hasta 50 bocas)</t>
  </si>
  <si>
    <t>22-11</t>
  </si>
  <si>
    <t>Instalación de una boca de iluminación con interruptor simple en cañería PVC rígido  (hasta 50 bocas)</t>
  </si>
  <si>
    <t>22-12</t>
  </si>
  <si>
    <t>Instalación de una boca de iluminación con interruptor combinación en cañería  PVC rígido  (hasta 50 bocas)</t>
  </si>
  <si>
    <t>22-13</t>
  </si>
  <si>
    <t>Instalación de una boca de tomacorriente simple con cañería PVC rígido (de 51 a 100 bocas)</t>
  </si>
  <si>
    <t>22-14</t>
  </si>
  <si>
    <t>Instalación de una boca de tomacorriente doble con cañería PVC rígido (de 51 a 100 bocas)</t>
  </si>
  <si>
    <t>22-15</t>
  </si>
  <si>
    <t>Instalación de una boca de iluminación con interruptor simple en cañería PVC rígido (de 51 a 100 bocas)</t>
  </si>
  <si>
    <t>22-16</t>
  </si>
  <si>
    <t>Instalación de una boca de iluminación con interruptor combinación en cañería PVC rígido (de 51 a 100 bocas)</t>
  </si>
  <si>
    <t>23-00</t>
  </si>
  <si>
    <t>COMPUESTO DE INSTALACIONES CON CABLE CANAL</t>
  </si>
  <si>
    <t>23-01</t>
  </si>
  <si>
    <t>Compuesto Instalaciones con Cable - Canal</t>
  </si>
  <si>
    <t>Instalación de una boca de tomacorriente simple (hasta 50 bocas)</t>
  </si>
  <si>
    <t>Suma de items 5,8 y10,  Se considera hasta 4m de cable canal de 14x7 hasta 75x17, incluye instalación de caja y accesorios de instalación.
al momento de presupuestar tener en cuenta costos de fijación del cable canal (tarugos o pegamentos especiales)
Corresponde a cable canal para servicios de alimentación de 220v, comunicación y red; compartidos en el mismo canal separados por tabique</t>
  </si>
  <si>
    <t>23-02</t>
  </si>
  <si>
    <t>Instalación de una boca de iluminación con interruptor simple (hasta 50 bocas)</t>
  </si>
  <si>
    <t>23-03</t>
  </si>
  <si>
    <t>Instalación de una boca de tomacorriente doble (hasta 50 bocas)</t>
  </si>
  <si>
    <t>23-04</t>
  </si>
  <si>
    <t>Instalación de una boca de iluminación con interruptor doble (hasta 50 bocas)</t>
  </si>
  <si>
    <t>23-05</t>
  </si>
  <si>
    <t>metro adicional</t>
  </si>
  <si>
    <t>24-00</t>
  </si>
  <si>
    <t>COMPUESTO ACOMETIDA</t>
  </si>
  <si>
    <t>24-01</t>
  </si>
  <si>
    <t xml:space="preserve">Compuesto Acometida </t>
  </si>
  <si>
    <t>Certificado pilar de obra, acometida monofásica aérea con sistema doble aislación, hincado de jabalina y armado tablero de obra, no incluye construcción de pilar</t>
  </si>
  <si>
    <t>Suma de ítems 0 y 1</t>
  </si>
  <si>
    <t>24-02</t>
  </si>
  <si>
    <t>Certificado pilar de obra monofásica, acometida subterránea hasta 10Kw con sistema doble aislación, hincado de jabalina y armado tablero de obra monofásico, no incluye construcción de pilar</t>
  </si>
  <si>
    <t>24-03</t>
  </si>
  <si>
    <t>Certificado pilar de obra trifásico, acometida aérea hincado de jabalina y armado tablero de obra, no incluye construcción de pilar</t>
  </si>
  <si>
    <t>24-04</t>
  </si>
  <si>
    <t>Certificado pilar de obra trifásico, acometida subterránea hasta 10Kw con sistema doble aislación hincado de jabalina y armado tablero de obra monofásico, no incluye construcción de pilar</t>
  </si>
  <si>
    <t>25-00</t>
  </si>
  <si>
    <t>PERSONAL CONTRATADO</t>
  </si>
  <si>
    <t>25-01</t>
  </si>
  <si>
    <t xml:space="preserve">Personal Contratado </t>
  </si>
  <si>
    <t>Oficial electricista especializado (por hora)</t>
  </si>
  <si>
    <t>Valores por hora obtenidos de Electro instalador</t>
  </si>
  <si>
    <t>25-02</t>
  </si>
  <si>
    <t>Oficial electricista (por hora)</t>
  </si>
  <si>
    <t>25-03</t>
  </si>
  <si>
    <t>Medio oficial electricista (por hora)</t>
  </si>
  <si>
    <t>25-04</t>
  </si>
  <si>
    <t>Ayudante electricista (por hora)</t>
  </si>
  <si>
    <t>26-00</t>
  </si>
  <si>
    <t xml:space="preserve">Nueva Categoría </t>
  </si>
  <si>
    <t>26-01</t>
  </si>
  <si>
    <t>Actividad 1</t>
  </si>
  <si>
    <t>Bonificacion de Visita de inspección.</t>
  </si>
  <si>
    <t>26-02</t>
  </si>
  <si>
    <t>Actividad 2</t>
  </si>
  <si>
    <t>Corresponde descuento del %20 del total presupuestado con las formas de pagos indicadas y el cliente haya manifestado su forma de pago.</t>
  </si>
  <si>
    <t xml:space="preserve"> %20 del total presupuestado con las formas de pagos indicadas</t>
  </si>
  <si>
    <t>26-03</t>
  </si>
  <si>
    <t>Actividad 3</t>
  </si>
  <si>
    <t>Corresponde a otros descuentos (ingreso manual)</t>
  </si>
  <si>
    <t>27-00</t>
  </si>
  <si>
    <t>Electroinstalador</t>
  </si>
  <si>
    <t>PURIFICACION (EI)</t>
  </si>
  <si>
    <t>27-01</t>
  </si>
  <si>
    <t>Purificación (EI)</t>
  </si>
  <si>
    <t>Extractor de aire en baño.</t>
  </si>
  <si>
    <t>Electroinstalador  -  02/2026</t>
  </si>
  <si>
    <t>27-02</t>
  </si>
  <si>
    <t>Extractor de aire en cocina.</t>
  </si>
  <si>
    <t>27-03</t>
  </si>
  <si>
    <t>Extractor de aire en cocina 240 mm</t>
  </si>
  <si>
    <t>27-04</t>
  </si>
  <si>
    <t>Campana tipo SPAR</t>
  </si>
  <si>
    <t>28-00</t>
  </si>
  <si>
    <t>ELECTROINSTALADOR (Otros)</t>
  </si>
  <si>
    <t>28-01</t>
  </si>
  <si>
    <t>Visita y Documentación (EI)</t>
  </si>
  <si>
    <t>Visita de de inspección</t>
  </si>
  <si>
    <t>28-02</t>
  </si>
  <si>
    <t>Electroinstalador (Otros)</t>
  </si>
  <si>
    <t>Armado de pilar de obra Monofásico</t>
  </si>
  <si>
    <t>(Instalación transitoria o circunstancial) No incluye construcción de pilar</t>
  </si>
  <si>
    <t>28-03</t>
  </si>
  <si>
    <t>Armado de pilar de obra Trifásico</t>
  </si>
  <si>
    <t>28-04</t>
  </si>
  <si>
    <t>Armado de losa por boca</t>
  </si>
  <si>
    <t>Bandeja porta-cable de 50 a 200 mm x y carpeta 3 m de largo y a una altura máxima de 3 m	$ 31.200+IVA
Se toma referencial al valor de la unidad de cada bandeja con sus correspondientes soportes, cada uno a un metro de distancia y sobre superficie libre de obstáculos.</t>
  </si>
  <si>
    <t>28-05</t>
  </si>
  <si>
    <t>Certificado pilar transitorio.</t>
  </si>
  <si>
    <t>28-06</t>
  </si>
  <si>
    <t>Certificación y carpeta técnica de vivienda existente / nueva o local comercial. (Hasta 20 bocas)</t>
  </si>
  <si>
    <t>28-07</t>
  </si>
  <si>
    <t>Certificación de vivienda existente o local comercial (Más de 20 bocas).</t>
  </si>
  <si>
    <t>(corresponde al punto anterior (4) - precio adicional por boca a partir de la boca 21)</t>
  </si>
  <si>
    <t>28-08</t>
  </si>
  <si>
    <t>Cableado de bocas</t>
  </si>
  <si>
    <t>(incluye colocación de porta lámpara y módulo de efecto)</t>
  </si>
  <si>
    <t>28-09</t>
  </si>
  <si>
    <t>Recableado de vivienda pre-existente</t>
  </si>
  <si>
    <t>28-10</t>
  </si>
  <si>
    <t>Armado de tablero monofónico por protección</t>
  </si>
  <si>
    <t>28-11</t>
  </si>
  <si>
    <t>Armado de tablero trifásico por protección</t>
  </si>
  <si>
    <t>28-12</t>
  </si>
  <si>
    <t>Colocación - conexión (EI)</t>
  </si>
  <si>
    <t>Colocación de elementos dispersor (Pat) MTS</t>
  </si>
  <si>
    <t>(Hincado de 1,5 m de jabalina + caja de inspección)</t>
  </si>
  <si>
    <t>28-13</t>
  </si>
  <si>
    <t>Colocación de artefacto de Iluminación (Hasta 3 m de altura).</t>
  </si>
  <si>
    <t>28-14</t>
  </si>
  <si>
    <t>Colocación de artefacto de Iluminación (Mayor a 3 m de altura).</t>
  </si>
  <si>
    <t>28-15</t>
  </si>
  <si>
    <t>Colocación o recambio de termomagnética y diferencial Monofásico</t>
  </si>
  <si>
    <t>28-16</t>
  </si>
  <si>
    <t>Colocación o recambio de termomagnética y diferencial trifásico</t>
  </si>
  <si>
    <t>28-17</t>
  </si>
  <si>
    <t>Conexión de motor Monofásico</t>
  </si>
  <si>
    <t>28-18</t>
  </si>
  <si>
    <t>Canalización embutida con cableado y colocación de artefacto o toma</t>
  </si>
  <si>
    <t>(Con tendido de caño hasta 5 m)</t>
  </si>
  <si>
    <t>28-19</t>
  </si>
  <si>
    <t>Canalización exterior con cableado y colocación de artefacto o toma.</t>
  </si>
  <si>
    <t>(Con tendido de caño hasta 5m)</t>
  </si>
  <si>
    <t>28-20</t>
  </si>
  <si>
    <t>Empalme de cable subterráneo.</t>
  </si>
  <si>
    <t>28-21</t>
  </si>
  <si>
    <t>Empalme de cable subterráneo (por hora extra).</t>
  </si>
  <si>
    <t>28-22</t>
  </si>
  <si>
    <t>Revisión de fugas de corriente en instalaciones monofónicas (Mínimo 1 hora)</t>
  </si>
  <si>
    <t>28-23</t>
  </si>
  <si>
    <t>Incremento por hora para revisión de fugas de corriente en instalaciones.</t>
  </si>
  <si>
    <t>28-24</t>
  </si>
  <si>
    <t>Ventilador de techo sin luces</t>
  </si>
  <si>
    <t>28-25</t>
  </si>
  <si>
    <t>Ventilador de techo con luces</t>
  </si>
  <si>
    <t>28-26</t>
  </si>
  <si>
    <t>Luz de emergencia</t>
  </si>
  <si>
    <t>(Luz de emergencia hasta 3 metros)</t>
  </si>
  <si>
    <t>28-27</t>
  </si>
  <si>
    <t>Revisión de tableros e instalación DFE protecciones del usuario</t>
  </si>
  <si>
    <t>28-28</t>
  </si>
  <si>
    <t>Valor de ayudante electricista por día.</t>
  </si>
  <si>
    <t>28-29</t>
  </si>
  <si>
    <t>Emergencia después de las 22 hs</t>
  </si>
  <si>
    <t>(Precio por hora)</t>
  </si>
  <si>
    <t>28-30</t>
  </si>
  <si>
    <t>Spot Led</t>
  </si>
  <si>
    <t>28-31</t>
  </si>
  <si>
    <t>Reparación de luminarias</t>
  </si>
  <si>
    <t>(Hasta 4m)</t>
  </si>
  <si>
    <t>28-32</t>
  </si>
  <si>
    <t>Zanjeo por metro - cableado IRAM - 2178 - subterráneo 25x80 cm (cama de arena colocación del cable.</t>
  </si>
  <si>
    <t>INCLUYE: Protección mecánica, colocación de la malla de prevención y tapado completo de zanja.
NO INCLUYE: La compra de los materiales.</t>
  </si>
  <si>
    <t>29-00</t>
  </si>
  <si>
    <t>EPAC +</t>
  </si>
  <si>
    <t>29-01</t>
  </si>
  <si>
    <t>Instalación Interruptor Termomagnético Bipolar en tablero existente</t>
  </si>
  <si>
    <t>29-02</t>
  </si>
  <si>
    <t>Instalación Interruptor Termomagnético Tetrapolar en tablero existente</t>
  </si>
  <si>
    <t>Actividad 5</t>
  </si>
  <si>
    <t>30-00</t>
  </si>
  <si>
    <t>AAIERIC</t>
  </si>
  <si>
    <t>Obra completa - Refacción - Ampliación (*) (AAIERIC)</t>
  </si>
  <si>
    <t>30-01</t>
  </si>
  <si>
    <t>Visita: Inspección Ocular, Evaluación, Diagnóstico, Asesoramiento y Presupuesto</t>
  </si>
  <si>
    <t>AAIERIC  -  03/2026</t>
  </si>
  <si>
    <t>30-02</t>
  </si>
  <si>
    <t>Urgencia: Lunes a Sabado a partir 20:00 hs/Domingo y Feriado (mínimo)</t>
  </si>
  <si>
    <t>30-03</t>
  </si>
  <si>
    <t>Unidad básica de cotización para todo trabajo eléctrico: 1(una) boca completa.</t>
  </si>
  <si>
    <t>30-04</t>
  </si>
  <si>
    <t>Service - Instalación (mínimo)</t>
  </si>
  <si>
    <t>30-05</t>
  </si>
  <si>
    <t>Hora de Trabajo (mínimo)</t>
  </si>
  <si>
    <t>30-06</t>
  </si>
  <si>
    <t>Hora de Trabajo (promedio)</t>
  </si>
  <si>
    <t>31-00</t>
  </si>
  <si>
    <t>Canalización de cañería en losa</t>
  </si>
  <si>
    <t>31-01</t>
  </si>
  <si>
    <t>Canalización de cañería en losa (AAIERIC)</t>
  </si>
  <si>
    <t>Canalización en losa con caño metálico</t>
  </si>
  <si>
    <t>31-02</t>
  </si>
  <si>
    <t>Canalización en loseta con caño metálico</t>
  </si>
  <si>
    <t>32-00</t>
  </si>
  <si>
    <t>Amurado de cañeria en mampostería (AAIERIC)</t>
  </si>
  <si>
    <t>32-01</t>
  </si>
  <si>
    <t>Amurado de cañeria en mampostería - ladrillo común - boca</t>
  </si>
  <si>
    <t>32-02</t>
  </si>
  <si>
    <t>Amurado de cañeria en mampostería - ladrillo hueco - boca</t>
  </si>
  <si>
    <t>32-03</t>
  </si>
  <si>
    <t>Amurado de cañeria en mampostería - ladrillo común - xmetro</t>
  </si>
  <si>
    <t>32-04</t>
  </si>
  <si>
    <t>Amurado de cañeria en mampostería - ladrillo hueco - xmetro</t>
  </si>
  <si>
    <t>33-00</t>
  </si>
  <si>
    <t>Amurado de cañeria a la vista</t>
  </si>
  <si>
    <t>33-01</t>
  </si>
  <si>
    <t>Amurado de cañeria a la vista (AAIERIC)</t>
  </si>
  <si>
    <t>Amurado de cañeria a la vista - metal - boca</t>
  </si>
  <si>
    <t>33-02</t>
  </si>
  <si>
    <t>Amurado de cañeria a la vista - PVC - boca</t>
  </si>
  <si>
    <t>33-03</t>
  </si>
  <si>
    <t>Amurado de cañeria a la vista - Cable Canal (14x30) - boca</t>
  </si>
  <si>
    <t>34-00</t>
  </si>
  <si>
    <t>Pase de viga y/o columna (AAIERIC)</t>
  </si>
  <si>
    <t>34-01</t>
  </si>
  <si>
    <t>A razón de 1 (una) boca en viga y/o columna</t>
  </si>
  <si>
    <t>35-00</t>
  </si>
  <si>
    <t>Cable subterráneo (AAIERIC)</t>
  </si>
  <si>
    <t>35-01</t>
  </si>
  <si>
    <t>Cable subterráneo a razón de 1(una) boca cada 1m x tierra</t>
  </si>
  <si>
    <t>35-02</t>
  </si>
  <si>
    <t>Cable subterráneo a razón de 1(una) boca cada 1m x piso</t>
  </si>
  <si>
    <t>35-03</t>
  </si>
  <si>
    <t>Cable subterráneo Adicional por cada caja de paso x tierra</t>
  </si>
  <si>
    <t>35-04</t>
  </si>
  <si>
    <t>Cable subterráneo Adicional por cada caja de paso x piso</t>
  </si>
  <si>
    <t>36-00</t>
  </si>
  <si>
    <t>Cableado (AAIERIC)</t>
  </si>
  <si>
    <t>36-01</t>
  </si>
  <si>
    <t>Cableado en obra nueva - Opción 1</t>
  </si>
  <si>
    <t>Canalización realizada por el profesional x boca</t>
  </si>
  <si>
    <t>36-02</t>
  </si>
  <si>
    <t>Cableado en obra nueva - Opción 2</t>
  </si>
  <si>
    <t>Canalización realizada por otro profesional x boca</t>
  </si>
  <si>
    <t>36-03</t>
  </si>
  <si>
    <t>Recableado con artefactos</t>
  </si>
  <si>
    <t>No incluye cables pegados a la cañería o cualquier Artefacto colgante. Adicional x efecto 17113
otro vicio oculto en la instalación, lo cual se cotizará Artefacto colgante pesado - Mínimo 91894
en el momento.</t>
  </si>
  <si>
    <t>36-04</t>
  </si>
  <si>
    <t>Recableado sin artefactos</t>
  </si>
  <si>
    <t>37-00</t>
  </si>
  <si>
    <t>Conexión de Puntos y Tomas (AAIERIC)</t>
  </si>
  <si>
    <t>37-01</t>
  </si>
  <si>
    <t>Conexión Punto, toma simple, portalámpara</t>
  </si>
  <si>
    <t>x boca</t>
  </si>
  <si>
    <t>37-02</t>
  </si>
  <si>
    <t>Conexión Toma doble</t>
  </si>
  <si>
    <t>37-03</t>
  </si>
  <si>
    <t>Conexión Punto Combinación</t>
  </si>
  <si>
    <t>38-00</t>
  </si>
  <si>
    <t>Tableros (AAIERIC)</t>
  </si>
  <si>
    <t>38-01</t>
  </si>
  <si>
    <t>Tablero Principal con 1 ID y 1 TM + PAT (Monofásico)</t>
  </si>
  <si>
    <t>Incluye canalización, amurado y conexión - x unidad</t>
  </si>
  <si>
    <t>38-02</t>
  </si>
  <si>
    <t>Solo PAT (Monofásico)</t>
  </si>
  <si>
    <t>38-03</t>
  </si>
  <si>
    <t>Tablero Principal con 1 ID y 1 TM + PAT (Trifásico)</t>
  </si>
  <si>
    <t>38-04</t>
  </si>
  <si>
    <t>ID, ITM u otro módulo bipolar adicional (Trifásico)</t>
  </si>
  <si>
    <t>38-05</t>
  </si>
  <si>
    <t>ID tetrapolar (Trifásico)</t>
  </si>
  <si>
    <t>38-06</t>
  </si>
  <si>
    <t>ITM tetrapolar (Trifásico)</t>
  </si>
  <si>
    <t>38-07</t>
  </si>
  <si>
    <t>ITM tripolar (Trifásico)</t>
  </si>
  <si>
    <t>38-08</t>
  </si>
  <si>
    <t>Tableros Seccionales Hasta 8 polos</t>
  </si>
  <si>
    <t>38-09</t>
  </si>
  <si>
    <t>Tableros Seccionales De 8 a 36 polos</t>
  </si>
  <si>
    <t>38-10</t>
  </si>
  <si>
    <t>Tableros Seccionales De 36 a 54 polos</t>
  </si>
  <si>
    <t>38-11</t>
  </si>
  <si>
    <t>Tableros especiales A criterio del instalador según variables.</t>
  </si>
  <si>
    <t>39-00</t>
  </si>
  <si>
    <t>Colocación de Artefactos de iluminación y otros (AAIERIC)</t>
  </si>
  <si>
    <t>39-01</t>
  </si>
  <si>
    <t>Colocación Artefacto aplique simple</t>
  </si>
  <si>
    <t>x unidad</t>
  </si>
  <si>
    <t>39-02</t>
  </si>
  <si>
    <t>Colocación Spot Led por unidad</t>
  </si>
  <si>
    <t>39-03</t>
  </si>
  <si>
    <t>Colocación Artefacto colgante liviano 3 luces 1 efecto</t>
  </si>
  <si>
    <t>39-04</t>
  </si>
  <si>
    <t>Colocación Artefacto colgante liviano 5 luces 1 efecto</t>
  </si>
  <si>
    <t>39-05</t>
  </si>
  <si>
    <t>Colocación Artefacto colgante. Adicional x efecto</t>
  </si>
  <si>
    <t>39-06</t>
  </si>
  <si>
    <t>Colocación Artefacto colgante pesado - Mínimo</t>
  </si>
  <si>
    <t>39-07</t>
  </si>
  <si>
    <t>Colocación Equipo de tubo Led simple de 7 W a 36 W</t>
  </si>
  <si>
    <t>39-08</t>
  </si>
  <si>
    <t>Colocación Equipo de tubo Led doble de 7 W a 36 W</t>
  </si>
  <si>
    <t>39-09</t>
  </si>
  <si>
    <t>Colocación Equipo de tubo Led 45 W</t>
  </si>
  <si>
    <t>39-10</t>
  </si>
  <si>
    <t>Colocación Equipo de tubo Led doble 45 W</t>
  </si>
  <si>
    <t>39-11</t>
  </si>
  <si>
    <t>Colocación Ventilador de techo</t>
  </si>
  <si>
    <t>39-12</t>
  </si>
  <si>
    <t>Colocación Ventilador de techo con luminaria 1 efecto</t>
  </si>
  <si>
    <t>40-00</t>
  </si>
  <si>
    <t>Acometida (amurado + conexión)</t>
  </si>
  <si>
    <t>40-01</t>
  </si>
  <si>
    <t>Acometida (amurado + conexión) (AAIERIC)</t>
  </si>
  <si>
    <t>Gabinete 1 Medidor Monofásico</t>
  </si>
  <si>
    <t>En pilar/muro existente + PAT de Servicio</t>
  </si>
  <si>
    <t>40-02</t>
  </si>
  <si>
    <t>Gabinete 2 Medidores Monofásicos</t>
  </si>
  <si>
    <t>40-03</t>
  </si>
  <si>
    <t>Gabinete 3 Medidores Monofásicos *</t>
  </si>
  <si>
    <t>En pilar/muro existente + PAT de Servicio *Se incluye Caja de Toma 63A (EDENOR-EDESUR)</t>
  </si>
  <si>
    <t>40-04</t>
  </si>
  <si>
    <t>Gabinete 4 Medidores Monofásicos *</t>
  </si>
  <si>
    <t>40-05</t>
  </si>
  <si>
    <t>PAT de Servicio (jabalina + caja de insp.)</t>
  </si>
  <si>
    <t>40-06</t>
  </si>
  <si>
    <t>Pilar completo (Gabinete, TP, Caño y PAT</t>
  </si>
  <si>
    <t>40-07</t>
  </si>
  <si>
    <t>Caño de acometida (amurado y conexión)</t>
  </si>
  <si>
    <t>40-08</t>
  </si>
  <si>
    <t>Caja de Toma (Fusilera NH 00)</t>
  </si>
  <si>
    <t>40-09</t>
  </si>
  <si>
    <t>Agregado de un gabinete de medidor + TP</t>
  </si>
  <si>
    <t>41-00</t>
  </si>
  <si>
    <t>Bandejas Portacables x metro (AAIERIC)</t>
  </si>
  <si>
    <t>41-01</t>
  </si>
  <si>
    <t>Bandejas Portacables hasta 150mm de ancho Por metro lineal H&lt;3m</t>
  </si>
  <si>
    <t>Altura máxima hasta 3 metros</t>
  </si>
  <si>
    <t>41-02</t>
  </si>
  <si>
    <t>Bandejas Portacables hasta 150mm de ancho Por c/accesorio (Curva plana, Unión T) H&lt;3m</t>
  </si>
  <si>
    <t>41-03</t>
  </si>
  <si>
    <t>Bandejas Portacables hasta 150mm de ancho Otros accesorios H&lt;3m</t>
  </si>
  <si>
    <t>41-04</t>
  </si>
  <si>
    <t>Bandejas Portacables hasta 150mm de ancho Por metro lineal H&gt;3m</t>
  </si>
  <si>
    <t>Altura mínima desde 3 metros</t>
  </si>
  <si>
    <t>41-05</t>
  </si>
  <si>
    <t>Bandejas Portacables hasta 150mm de ancho Por c/accesorio (Curva plana, Unión T) H&gt;3m</t>
  </si>
  <si>
    <t>41-06</t>
  </si>
  <si>
    <t>Bandejas Portacables hasta 150mm de ancho Otros accesorios H&gt;3m</t>
  </si>
  <si>
    <t>41-07</t>
  </si>
  <si>
    <t>Bandejas Portacables 200/300mm de ancho Por metro lineal H&lt;3m</t>
  </si>
  <si>
    <t>41-08</t>
  </si>
  <si>
    <t>Bandejas Portacables 200/300mm de ancho Por c/accesorio (Curva plana, Unión T) H&lt;3m</t>
  </si>
  <si>
    <t>41-09</t>
  </si>
  <si>
    <t>Bandejas Portacables 200/300mm de ancho Otros accesorios H&lt;3m</t>
  </si>
  <si>
    <t>41-10</t>
  </si>
  <si>
    <t>Bandejas Portacables 200/300mm de ancho Por metro lineal H&gt;3m</t>
  </si>
  <si>
    <t>41-11</t>
  </si>
  <si>
    <t>Bandejas Portacables 200/300mm de ancho Por c/accesorio (Curva plana, Unión T) H&gt;3m</t>
  </si>
  <si>
    <t>41-12</t>
  </si>
  <si>
    <t>Bandejas Portacables 200/300mm de ancho Otros accesorios H&gt;3m</t>
  </si>
  <si>
    <t>41-13</t>
  </si>
  <si>
    <t>Bandejas Portacables 450/600 mm de ancho Por metro lineal H&lt;3m</t>
  </si>
  <si>
    <t>41-14</t>
  </si>
  <si>
    <t>Bandejas Portacables 450/600 mm de ancho Por c/accesorio (Curva plana, Unión T) H&lt;3m</t>
  </si>
  <si>
    <t>41-15</t>
  </si>
  <si>
    <t>Bandejas Portacables 450/600 mm de ancho Otros accesorios H&lt;3m</t>
  </si>
  <si>
    <t>41-16</t>
  </si>
  <si>
    <t>Bandejas Portacables 450/600 mm de ancho Por metro lineal H&gt;3m</t>
  </si>
  <si>
    <t>41-17</t>
  </si>
  <si>
    <t>Bandejas Portacables 450/600 mm de ancho Por c/accesorio (Curva plana, Unión T) H&gt;3m</t>
  </si>
  <si>
    <t>41-18</t>
  </si>
  <si>
    <t>Bandejas Portacables 450/600 mm de ancho Otros accesorios H&gt;3m</t>
  </si>
  <si>
    <t>FEDECOR</t>
  </si>
  <si>
    <t xml:space="preserve">Próximamente </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</si>
</sst>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m/yyyy"/>
    <numFmt numFmtId="165" formatCode="m/d/yyyy h:mm:ss"/>
    <numFmt numFmtId="166" formatCode="dd/mm/yyyy"/>
    <numFmt numFmtId="167" formatCode="[$$-2C0A]\ #,##0"/>
  </numFmts>
  <fonts count="20">
    <font>
      <sz val="10.0"/>
      <color rgb="FF000000"/>
      <name val="Arial"/>
      <scheme val="minor"/>
    </font>
    <font>
      <color theme="1"/>
      <name val="Arial"/>
      <scheme val="minor"/>
    </font>
    <font>
      <b/>
      <color rgb="FF3D85C6"/>
      <name val="Arial"/>
      <scheme val="minor"/>
    </font>
    <font>
      <color rgb="FF0B5394"/>
      <name val="Arial"/>
      <scheme val="minor"/>
    </font>
    <font>
      <b/>
      <sz val="12.0"/>
      <color theme="1"/>
      <name val="Arial"/>
      <scheme val="minor"/>
    </font>
    <font>
      <u/>
      <color rgb="FF0000FF"/>
    </font>
    <font>
      <b/>
      <sz val="14.0"/>
      <color theme="1"/>
      <name val="Arial"/>
      <scheme val="minor"/>
    </font>
    <font/>
    <font>
      <sz val="8.0"/>
      <color theme="1"/>
      <name val="Arial"/>
    </font>
    <font>
      <sz val="8.0"/>
      <color rgb="FF000000"/>
      <name val="Arial"/>
    </font>
    <font>
      <sz val="8.0"/>
      <color rgb="FF333333"/>
      <name val="Arial"/>
    </font>
    <font>
      <sz val="14.0"/>
      <color rgb="FF000000"/>
      <name val="Arial"/>
    </font>
    <font>
      <sz val="8.0"/>
      <color rgb="FF7F7F7F"/>
      <name val="Arial"/>
    </font>
    <font>
      <b/>
      <sz val="9.0"/>
      <color rgb="FF000000"/>
      <name val="Arial"/>
    </font>
    <font>
      <b/>
      <sz val="9.0"/>
      <color theme="1"/>
      <name val="Arial"/>
    </font>
    <font>
      <b/>
      <color theme="1"/>
      <name val="Arial"/>
    </font>
    <font>
      <b/>
      <sz val="16.0"/>
      <color rgb="FF000000"/>
      <name val="Arial"/>
    </font>
    <font>
      <b/>
      <sz val="7.0"/>
      <color rgb="FF666666"/>
      <name val="Arial"/>
    </font>
    <font>
      <b/>
      <color rgb="FF666666"/>
      <name val="Arial"/>
    </font>
    <font>
      <b/>
      <sz val="14.0"/>
      <color rgb="FF000000"/>
      <name val="Arial"/>
    </font>
  </fonts>
  <fills count="12">
    <fill>
      <patternFill patternType="none"/>
    </fill>
    <fill>
      <patternFill patternType="lightGray"/>
    </fill>
    <fill>
      <patternFill patternType="solid">
        <fgColor rgb="FFC9DAF8"/>
        <bgColor rgb="FFC9DAF8"/>
      </patternFill>
    </fill>
    <fill>
      <patternFill patternType="solid">
        <fgColor rgb="FF4A86E8"/>
        <bgColor rgb="FF4A86E8"/>
      </patternFill>
    </fill>
    <fill>
      <patternFill patternType="solid">
        <fgColor rgb="FFA4C2F4"/>
        <bgColor rgb="FFA4C2F4"/>
      </patternFill>
    </fill>
    <fill>
      <patternFill patternType="solid">
        <fgColor rgb="FFF46524"/>
        <bgColor rgb="FFF46524"/>
      </patternFill>
    </fill>
    <fill>
      <patternFill patternType="solid">
        <fgColor rgb="FFFFFFFF"/>
        <bgColor rgb="FFFFFFFF"/>
      </patternFill>
    </fill>
    <fill>
      <patternFill patternType="solid">
        <fgColor rgb="FFFFE6DD"/>
        <bgColor rgb="FFFFE6DD"/>
      </patternFill>
    </fill>
    <fill>
      <patternFill patternType="solid">
        <fgColor rgb="FFD8D8D8"/>
        <bgColor rgb="FFD8D8D8"/>
      </patternFill>
    </fill>
    <fill>
      <patternFill patternType="solid">
        <fgColor rgb="FFCCCCCC"/>
        <bgColor rgb="FFCCCCCC"/>
      </patternFill>
    </fill>
    <fill>
      <patternFill patternType="solid">
        <fgColor rgb="FFD9D9D9"/>
        <bgColor rgb="FFD9D9D9"/>
      </patternFill>
    </fill>
    <fill>
      <patternFill patternType="solid">
        <fgColor rgb="FF6FA8DC"/>
        <bgColor rgb="FF6FA8DC"/>
      </patternFill>
    </fill>
  </fills>
  <borders count="1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ck">
        <color rgb="FF666666"/>
      </left>
      <right style="thick">
        <color rgb="FF666666"/>
      </right>
      <top style="thick">
        <color rgb="FF666666"/>
      </top>
      <bottom style="thick">
        <color rgb="FF666666"/>
      </bottom>
    </border>
    <border>
      <right style="thin">
        <color rgb="FF000000"/>
      </right>
      <top style="thin">
        <color rgb="FF000000"/>
      </top>
    </border>
    <border>
      <left style="thin">
        <color rgb="FF000000"/>
      </left>
      <right style="thin">
        <color rgb="FF000000"/>
      </right>
    </border>
    <border>
      <right style="thin">
        <color rgb="FF000000"/>
      </right>
    </border>
    <border>
      <right style="thin">
        <color rgb="FF000000"/>
      </right>
      <bottom style="thin">
        <color rgb="FF000000"/>
      </bottom>
    </border>
    <border>
      <left/>
      <right/>
      <top/>
      <bottom/>
    </border>
    <border>
      <left/>
      <top/>
      <bottom/>
    </border>
    <border>
      <top/>
      <bottom/>
    </border>
    <border>
      <top style="thin">
        <color rgb="FF000000"/>
      </top>
    </border>
    <border>
      <left/>
      <top/>
    </border>
    <border>
      <top/>
    </border>
    <border>
      <left/>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1" numFmtId="164" xfId="0" applyAlignment="1" applyFont="1" applyNumberFormat="1">
      <alignment readingOrder="0"/>
    </xf>
    <xf borderId="0" fillId="0" fontId="1" numFmtId="9" xfId="0" applyAlignment="1" applyFont="1" applyNumberFormat="1">
      <alignment readingOrder="0"/>
    </xf>
    <xf borderId="0" fillId="0" fontId="1" numFmtId="165" xfId="0" applyFont="1" applyNumberFormat="1"/>
    <xf borderId="0" fillId="0" fontId="2" numFmtId="0" xfId="0" applyAlignment="1" applyFont="1">
      <alignment readingOrder="0"/>
    </xf>
    <xf borderId="0" fillId="0" fontId="1" numFmtId="3" xfId="0" applyAlignment="1" applyFont="1" applyNumberFormat="1">
      <alignment readingOrder="0"/>
    </xf>
    <xf borderId="0" fillId="0" fontId="3" numFmtId="0" xfId="0" applyFont="1"/>
    <xf borderId="1" fillId="2" fontId="4" numFmtId="0" xfId="0" applyAlignment="1" applyBorder="1" applyFill="1" applyFont="1">
      <alignment readingOrder="0"/>
    </xf>
    <xf borderId="1" fillId="0" fontId="1" numFmtId="166" xfId="0" applyAlignment="1" applyBorder="1" applyFont="1" applyNumberFormat="1">
      <alignment horizontal="left" readingOrder="0"/>
    </xf>
    <xf borderId="1" fillId="0" fontId="1" numFmtId="0" xfId="0" applyAlignment="1" applyBorder="1" applyFont="1">
      <alignment readingOrder="0"/>
    </xf>
    <xf borderId="0" fillId="0" fontId="5" numFmtId="0" xfId="0" applyFont="1"/>
    <xf borderId="2" fillId="2" fontId="6" numFmtId="0" xfId="0" applyAlignment="1" applyBorder="1" applyFont="1">
      <alignment readingOrder="0"/>
    </xf>
    <xf borderId="3" fillId="2" fontId="6" numFmtId="0" xfId="0" applyAlignment="1" applyBorder="1" applyFont="1">
      <alignment horizontal="center" readingOrder="0"/>
    </xf>
    <xf borderId="4" fillId="0" fontId="7" numFmtId="0" xfId="0" applyBorder="1" applyFont="1"/>
    <xf borderId="5" fillId="0" fontId="7" numFmtId="0" xfId="0" applyBorder="1" applyFont="1"/>
    <xf borderId="2" fillId="2" fontId="6" numFmtId="0" xfId="0" applyAlignment="1" applyBorder="1" applyFont="1">
      <alignment readingOrder="0" shrinkToFit="0" wrapText="1"/>
    </xf>
    <xf borderId="0" fillId="0" fontId="6" numFmtId="0" xfId="0" applyFont="1"/>
    <xf borderId="6" fillId="0" fontId="7" numFmtId="0" xfId="0" applyBorder="1" applyFont="1"/>
    <xf borderId="0" fillId="0" fontId="6" numFmtId="0" xfId="0" applyAlignment="1" applyFont="1">
      <alignment readingOrder="0"/>
    </xf>
    <xf borderId="7" fillId="0" fontId="1" numFmtId="0" xfId="0" applyAlignment="1" applyBorder="1" applyFont="1">
      <alignment readingOrder="0"/>
    </xf>
    <xf borderId="8" fillId="3" fontId="1" numFmtId="0" xfId="0" applyBorder="1" applyFill="1" applyFont="1"/>
    <xf borderId="2" fillId="0" fontId="1" numFmtId="0" xfId="0" applyBorder="1" applyFont="1"/>
    <xf borderId="0" fillId="0" fontId="1" numFmtId="0" xfId="0" applyAlignment="1" applyFont="1">
      <alignment shrinkToFit="0" wrapText="1"/>
    </xf>
    <xf borderId="2" fillId="3" fontId="1" numFmtId="0" xfId="0" applyBorder="1" applyFont="1"/>
    <xf borderId="9" fillId="3" fontId="1" numFmtId="0" xfId="0" applyBorder="1" applyFont="1"/>
    <xf borderId="2" fillId="4" fontId="1" numFmtId="0" xfId="0" applyBorder="1" applyFill="1" applyFont="1"/>
    <xf borderId="7" fillId="0" fontId="1" numFmtId="0" xfId="0" applyBorder="1" applyFont="1"/>
    <xf borderId="10" fillId="3" fontId="1" numFmtId="0" xfId="0" applyBorder="1" applyFont="1"/>
    <xf borderId="9" fillId="0" fontId="1" numFmtId="0" xfId="0" applyBorder="1" applyFont="1"/>
    <xf borderId="9" fillId="4" fontId="1" numFmtId="0" xfId="0" applyBorder="1" applyFont="1"/>
    <xf borderId="7" fillId="0" fontId="1" numFmtId="164" xfId="0" applyAlignment="1" applyBorder="1" applyFont="1" applyNumberFormat="1">
      <alignment readingOrder="0"/>
    </xf>
    <xf borderId="7" fillId="0" fontId="1" numFmtId="9" xfId="0" applyAlignment="1" applyBorder="1" applyFont="1" applyNumberFormat="1">
      <alignment readingOrder="0"/>
    </xf>
    <xf borderId="0" fillId="5" fontId="8" numFmtId="1" xfId="0" applyAlignment="1" applyFill="1" applyFont="1" applyNumberFormat="1">
      <alignment horizontal="left" shrinkToFit="0" vertical="top" wrapText="1"/>
    </xf>
    <xf borderId="0" fillId="5" fontId="8" numFmtId="0" xfId="0" applyAlignment="1" applyFont="1">
      <alignment horizontal="left" readingOrder="0" shrinkToFit="0" vertical="top" wrapText="1"/>
    </xf>
    <xf borderId="0" fillId="5" fontId="8" numFmtId="0" xfId="0" applyAlignment="1" applyFont="1">
      <alignment shrinkToFit="0" vertical="top" wrapText="1"/>
    </xf>
    <xf borderId="0" fillId="5" fontId="8" numFmtId="0" xfId="0" applyAlignment="1" applyFont="1">
      <alignment horizontal="right" shrinkToFit="0" vertical="top" wrapText="1"/>
    </xf>
    <xf borderId="0" fillId="5" fontId="8" numFmtId="0" xfId="0" applyAlignment="1" applyFont="1">
      <alignment horizontal="left"/>
    </xf>
    <xf borderId="0" fillId="5" fontId="1" numFmtId="0" xfId="0" applyAlignment="1" applyFont="1">
      <alignment readingOrder="0"/>
    </xf>
    <xf borderId="0" fillId="6" fontId="9" numFmtId="49" xfId="0" applyAlignment="1" applyFill="1" applyFont="1" applyNumberFormat="1">
      <alignment horizontal="left" readingOrder="0" shrinkToFit="1" vertical="top" wrapText="0"/>
    </xf>
    <xf borderId="0" fillId="6" fontId="10" numFmtId="0" xfId="0" applyAlignment="1" applyFont="1">
      <alignment horizontal="left" readingOrder="0" shrinkToFit="0" vertical="top" wrapText="1"/>
    </xf>
    <xf borderId="0" fillId="6" fontId="9" numFmtId="1" xfId="0" applyAlignment="1" applyFont="1" applyNumberFormat="1">
      <alignment shrinkToFit="1" vertical="top" wrapText="0"/>
    </xf>
    <xf borderId="0" fillId="6" fontId="8" numFmtId="0" xfId="0" applyAlignment="1" applyFont="1">
      <alignment shrinkToFit="0" vertical="top" wrapText="1"/>
    </xf>
    <xf borderId="0" fillId="6" fontId="8" numFmtId="3" xfId="0" applyAlignment="1" applyFont="1" applyNumberFormat="1">
      <alignment horizontal="right" shrinkToFit="0" vertical="top" wrapText="1"/>
    </xf>
    <xf borderId="0" fillId="6" fontId="9" numFmtId="0" xfId="0" applyAlignment="1" applyFont="1">
      <alignment horizontal="left"/>
    </xf>
    <xf borderId="0" fillId="6" fontId="9" numFmtId="49" xfId="0" applyAlignment="1" applyFont="1" applyNumberFormat="1">
      <alignment horizontal="left"/>
    </xf>
    <xf borderId="0" fillId="6" fontId="9" numFmtId="0" xfId="0" applyAlignment="1" applyFont="1">
      <alignment horizontal="left" readingOrder="0"/>
    </xf>
    <xf borderId="0" fillId="6" fontId="9" numFmtId="0" xfId="0" applyAlignment="1" applyFont="1">
      <alignment readingOrder="0"/>
    </xf>
    <xf borderId="0" fillId="6" fontId="8" numFmtId="0" xfId="0" applyFont="1"/>
    <xf borderId="0" fillId="6" fontId="1" numFmtId="0" xfId="0" applyAlignment="1" applyFont="1">
      <alignment readingOrder="0"/>
    </xf>
    <xf borderId="0" fillId="7" fontId="10" numFmtId="49" xfId="0" applyAlignment="1" applyFill="1" applyFont="1" applyNumberFormat="1">
      <alignment horizontal="left" shrinkToFit="0" vertical="top" wrapText="1"/>
    </xf>
    <xf borderId="0" fillId="7" fontId="10" numFmtId="0" xfId="0" applyAlignment="1" applyFont="1">
      <alignment horizontal="left" readingOrder="0" shrinkToFit="0" vertical="top" wrapText="1"/>
    </xf>
    <xf borderId="0" fillId="7" fontId="8" numFmtId="0" xfId="0" applyAlignment="1" applyFont="1">
      <alignment readingOrder="0" shrinkToFit="0" vertical="top" wrapText="1"/>
    </xf>
    <xf borderId="0" fillId="7" fontId="10" numFmtId="0" xfId="0" applyAlignment="1" applyFont="1">
      <alignment horizontal="left" readingOrder="0" shrinkToFit="0" vertical="center" wrapText="1"/>
    </xf>
    <xf borderId="0" fillId="7" fontId="9" numFmtId="3" xfId="0" applyAlignment="1" applyFont="1" applyNumberFormat="1">
      <alignment horizontal="right" readingOrder="0" shrinkToFit="1" vertical="center" wrapText="0"/>
    </xf>
    <xf borderId="0" fillId="7" fontId="8" numFmtId="0" xfId="0" applyAlignment="1" applyFont="1">
      <alignment horizontal="left" shrinkToFit="0" vertical="top" wrapText="1"/>
    </xf>
    <xf borderId="0" fillId="7" fontId="9" numFmtId="0" xfId="0" applyAlignment="1" applyFont="1">
      <alignment horizontal="left" readingOrder="0"/>
    </xf>
    <xf borderId="0" fillId="7" fontId="9" numFmtId="49" xfId="0" applyAlignment="1" applyFont="1" applyNumberFormat="1">
      <alignment horizontal="left"/>
    </xf>
    <xf borderId="0" fillId="7" fontId="9" numFmtId="0" xfId="0" applyAlignment="1" applyFont="1">
      <alignment horizontal="left"/>
    </xf>
    <xf borderId="0" fillId="7" fontId="9" numFmtId="0" xfId="0" applyAlignment="1" applyFont="1">
      <alignment readingOrder="0"/>
    </xf>
    <xf borderId="0" fillId="7" fontId="8" numFmtId="0" xfId="0" applyAlignment="1" applyFont="1">
      <alignment readingOrder="0"/>
    </xf>
    <xf borderId="0" fillId="7" fontId="1" numFmtId="0" xfId="0" applyAlignment="1" applyFont="1">
      <alignment readingOrder="0"/>
    </xf>
    <xf borderId="0" fillId="6" fontId="10" numFmtId="49" xfId="0" applyAlignment="1" applyFont="1" applyNumberFormat="1">
      <alignment horizontal="left" shrinkToFit="0" vertical="top" wrapText="1"/>
    </xf>
    <xf borderId="0" fillId="6" fontId="8" numFmtId="0" xfId="0" applyAlignment="1" applyFont="1">
      <alignment readingOrder="0" shrinkToFit="0" vertical="top" wrapText="1"/>
    </xf>
    <xf borderId="0" fillId="6" fontId="10" numFmtId="0" xfId="0" applyAlignment="1" applyFont="1">
      <alignment horizontal="left" readingOrder="0" shrinkToFit="0" vertical="center" wrapText="1"/>
    </xf>
    <xf borderId="0" fillId="6" fontId="9" numFmtId="3" xfId="0" applyAlignment="1" applyFont="1" applyNumberFormat="1">
      <alignment horizontal="right" readingOrder="0" shrinkToFit="1" vertical="center" wrapText="0"/>
    </xf>
    <xf borderId="0" fillId="6" fontId="8" numFmtId="0" xfId="0" applyAlignment="1" applyFont="1">
      <alignment horizontal="left" shrinkToFit="0" vertical="top" wrapText="1"/>
    </xf>
    <xf borderId="0" fillId="6" fontId="8" numFmtId="0" xfId="0" applyAlignment="1" applyFont="1">
      <alignment readingOrder="0"/>
    </xf>
    <xf borderId="0" fillId="7" fontId="8" numFmtId="0" xfId="0" applyAlignment="1" applyFont="1">
      <alignment horizontal="left" shrinkToFit="0" vertical="center" wrapText="1"/>
    </xf>
    <xf borderId="0" fillId="7" fontId="8"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7" fontId="10" numFmtId="0" xfId="0" applyAlignment="1" applyFont="1">
      <alignment horizontal="left" shrinkToFit="0" vertical="center" wrapText="1"/>
    </xf>
    <xf borderId="11" fillId="3" fontId="1" numFmtId="0" xfId="0" applyBorder="1" applyFont="1"/>
    <xf borderId="0" fillId="6" fontId="10" numFmtId="49" xfId="0" applyAlignment="1" applyFont="1" applyNumberFormat="1">
      <alignment horizontal="left" readingOrder="0" shrinkToFit="0" vertical="center" wrapText="1"/>
    </xf>
    <xf borderId="6" fillId="0" fontId="1" numFmtId="0" xfId="0" applyBorder="1" applyFont="1"/>
    <xf borderId="6" fillId="3" fontId="1" numFmtId="0" xfId="0" applyBorder="1" applyFont="1"/>
    <xf borderId="6" fillId="4" fontId="1" numFmtId="0" xfId="0" applyBorder="1" applyFont="1"/>
    <xf borderId="0" fillId="7" fontId="9" numFmtId="3" xfId="0" applyAlignment="1" applyFont="1" applyNumberFormat="1">
      <alignment horizontal="right" shrinkToFit="1" vertical="center" wrapText="0"/>
    </xf>
    <xf borderId="0" fillId="3" fontId="1" numFmtId="0" xfId="0" applyAlignment="1" applyFont="1">
      <alignment readingOrder="0"/>
    </xf>
    <xf borderId="0" fillId="3" fontId="1" numFmtId="0" xfId="0" applyFont="1"/>
    <xf borderId="0" fillId="7" fontId="10" numFmtId="0" xfId="0" applyAlignment="1" applyFont="1">
      <alignment horizontal="left" shrinkToFit="0" vertical="top" wrapText="1"/>
    </xf>
    <xf borderId="0" fillId="6" fontId="10" numFmtId="0" xfId="0" applyAlignment="1" applyFont="1">
      <alignment horizontal="left" shrinkToFit="0" vertical="top" wrapText="1"/>
    </xf>
    <xf borderId="0" fillId="6" fontId="8" numFmtId="0" xfId="0" applyAlignment="1" applyFont="1">
      <alignment horizontal="left" readingOrder="0" shrinkToFit="0" vertical="top" wrapText="1"/>
    </xf>
    <xf borderId="0" fillId="7" fontId="10" numFmtId="49" xfId="0" applyAlignment="1" applyFont="1" applyNumberFormat="1">
      <alignment horizontal="left" shrinkToFit="0" vertical="center" wrapText="1"/>
    </xf>
    <xf borderId="0" fillId="6" fontId="10" numFmtId="49" xfId="0" applyAlignment="1" applyFont="1" applyNumberFormat="1">
      <alignment horizontal="left" shrinkToFit="0" vertical="center" wrapText="1"/>
    </xf>
    <xf borderId="0" fillId="0" fontId="11" numFmtId="0" xfId="0" applyAlignment="1" applyFont="1">
      <alignment horizontal="center" readingOrder="0"/>
    </xf>
    <xf borderId="0" fillId="0" fontId="9" numFmtId="0" xfId="0" applyFont="1"/>
    <xf borderId="0" fillId="0" fontId="12" numFmtId="0" xfId="0" applyAlignment="1" applyFont="1">
      <alignment horizontal="right" readingOrder="0"/>
    </xf>
    <xf borderId="10" fillId="0" fontId="9" numFmtId="0" xfId="0" applyAlignment="1" applyBorder="1" applyFont="1">
      <alignment horizontal="right"/>
    </xf>
    <xf borderId="0" fillId="0" fontId="9" numFmtId="0" xfId="0" applyAlignment="1" applyFont="1">
      <alignment horizontal="right"/>
    </xf>
    <xf borderId="0" fillId="0" fontId="12" numFmtId="0" xfId="0" applyAlignment="1" applyFont="1">
      <alignment horizontal="left"/>
    </xf>
    <xf borderId="0" fillId="0" fontId="12" numFmtId="0" xfId="0" applyFont="1"/>
    <xf borderId="10" fillId="0" fontId="9" numFmtId="0" xfId="0" applyBorder="1" applyFont="1"/>
    <xf borderId="0" fillId="0" fontId="12" numFmtId="0" xfId="0" applyAlignment="1" applyFont="1">
      <alignment horizontal="right"/>
    </xf>
    <xf borderId="0" fillId="0" fontId="12" numFmtId="166" xfId="0" applyAlignment="1" applyFont="1" applyNumberFormat="1">
      <alignment horizontal="left" readingOrder="0"/>
    </xf>
    <xf borderId="0" fillId="0" fontId="12" numFmtId="0" xfId="0" applyAlignment="1" applyFont="1">
      <alignment horizontal="left" readingOrder="0"/>
    </xf>
    <xf borderId="12" fillId="8" fontId="13" numFmtId="0" xfId="0" applyBorder="1" applyFill="1" applyFont="1"/>
    <xf borderId="13" fillId="8" fontId="13" numFmtId="0" xfId="0" applyBorder="1" applyFont="1"/>
    <xf borderId="13" fillId="8" fontId="13" numFmtId="0" xfId="0" applyAlignment="1" applyBorder="1" applyFont="1">
      <alignment horizontal="left"/>
    </xf>
    <xf borderId="14" fillId="0" fontId="7" numFmtId="0" xfId="0" applyBorder="1" applyFont="1"/>
    <xf borderId="13" fillId="8" fontId="13" numFmtId="0" xfId="0" applyAlignment="1" applyBorder="1" applyFont="1">
      <alignment horizontal="center"/>
    </xf>
    <xf borderId="12" fillId="8" fontId="13" numFmtId="0" xfId="0" applyAlignment="1" applyBorder="1" applyFont="1">
      <alignment horizontal="center"/>
    </xf>
    <xf borderId="12" fillId="8" fontId="13" numFmtId="0" xfId="0" applyAlignment="1" applyBorder="1" applyFont="1">
      <alignment horizontal="right"/>
    </xf>
    <xf borderId="0" fillId="0" fontId="13" numFmtId="0" xfId="0" applyFont="1"/>
    <xf borderId="0" fillId="0" fontId="13" numFmtId="0" xfId="0" applyAlignment="1" applyFont="1">
      <alignment horizontal="left"/>
    </xf>
    <xf borderId="0" fillId="0" fontId="13" numFmtId="0" xfId="0" applyAlignment="1" applyFont="1">
      <alignment horizontal="center"/>
    </xf>
    <xf borderId="0" fillId="0" fontId="13" numFmtId="0" xfId="0" applyAlignment="1" applyFont="1">
      <alignment horizontal="right"/>
    </xf>
    <xf borderId="15" fillId="0" fontId="8" numFmtId="0" xfId="0" applyBorder="1" applyFont="1"/>
    <xf borderId="0" fillId="0" fontId="14" numFmtId="0" xfId="0" applyAlignment="1" applyFont="1">
      <alignment horizontal="center" vertical="top"/>
    </xf>
    <xf borderId="0" fillId="0" fontId="14" numFmtId="0" xfId="0" applyAlignment="1" applyFont="1">
      <alignment horizontal="left" readingOrder="0" shrinkToFit="0" vertical="top" wrapText="1"/>
    </xf>
    <xf borderId="0" fillId="0" fontId="14" numFmtId="0" xfId="0" applyAlignment="1" applyFont="1">
      <alignment readingOrder="0" vertical="top"/>
    </xf>
    <xf borderId="0" fillId="0" fontId="14" numFmtId="0" xfId="0" applyAlignment="1" applyFont="1">
      <alignment vertical="top"/>
    </xf>
    <xf borderId="0" fillId="0" fontId="14" numFmtId="3" xfId="0" applyAlignment="1" applyFont="1" applyNumberFormat="1">
      <alignment vertical="top"/>
    </xf>
    <xf borderId="0" fillId="9" fontId="8" numFmtId="0" xfId="0" applyAlignment="1" applyFill="1" applyFont="1">
      <alignment readingOrder="0" shrinkToFit="0" vertical="top" wrapText="1"/>
    </xf>
    <xf borderId="0" fillId="0" fontId="14" numFmtId="164" xfId="0" applyAlignment="1" applyFont="1" applyNumberFormat="1">
      <alignment horizontal="left" readingOrder="0" shrinkToFit="0" vertical="top" wrapText="1"/>
    </xf>
    <xf borderId="0" fillId="7" fontId="9" numFmtId="49" xfId="0" applyAlignment="1" applyFont="1" applyNumberFormat="1">
      <alignment horizontal="left" readingOrder="0" shrinkToFit="1" vertical="top" wrapText="0"/>
    </xf>
    <xf borderId="0" fillId="7" fontId="9" numFmtId="1" xfId="0" applyAlignment="1" applyFont="1" applyNumberFormat="1">
      <alignment shrinkToFit="1" vertical="top" wrapText="0"/>
    </xf>
    <xf borderId="0" fillId="7" fontId="8" numFmtId="3" xfId="0" applyAlignment="1" applyFont="1" applyNumberFormat="1">
      <alignment horizontal="right" shrinkToFit="0" vertical="top" wrapText="1"/>
    </xf>
    <xf borderId="0" fillId="7" fontId="8" numFmtId="0" xfId="0" applyAlignment="1" applyFont="1">
      <alignment shrinkToFit="0" vertical="top" wrapText="1"/>
    </xf>
    <xf borderId="0" fillId="7" fontId="8" numFmtId="0" xfId="0" applyFont="1"/>
    <xf borderId="0" fillId="6" fontId="9" numFmtId="0" xfId="0" applyFont="1"/>
    <xf borderId="0" fillId="7" fontId="9" numFmtId="0" xfId="0" applyFont="1"/>
    <xf borderId="0" fillId="10" fontId="8" numFmtId="0" xfId="0" applyAlignment="1" applyFill="1" applyFont="1">
      <alignment readingOrder="0" shrinkToFit="0" vertical="top" wrapText="1"/>
    </xf>
    <xf borderId="0" fillId="6" fontId="9" numFmtId="0" xfId="0" applyAlignment="1" applyFont="1">
      <alignment horizontal="left" shrinkToFit="0" wrapText="1"/>
    </xf>
    <xf borderId="0" fillId="7" fontId="9" numFmtId="0" xfId="0" applyAlignment="1" applyFont="1">
      <alignment horizontal="left" shrinkToFit="0" wrapText="1"/>
    </xf>
    <xf borderId="0" fillId="7" fontId="10" numFmtId="49" xfId="0" applyAlignment="1" applyFont="1" applyNumberFormat="1">
      <alignment horizontal="left" readingOrder="0" shrinkToFit="0" vertical="top" wrapText="1"/>
    </xf>
    <xf borderId="0" fillId="0" fontId="15" numFmtId="0" xfId="0" applyAlignment="1" applyFont="1">
      <alignment vertical="top"/>
    </xf>
    <xf borderId="0" fillId="8" fontId="9" numFmtId="0" xfId="0" applyFont="1"/>
    <xf borderId="13" fillId="8" fontId="13" numFmtId="0" xfId="0" applyAlignment="1" applyBorder="1" applyFont="1">
      <alignment horizontal="center" readingOrder="0"/>
    </xf>
    <xf borderId="0" fillId="0" fontId="9" numFmtId="0" xfId="0" applyAlignment="1" applyFont="1">
      <alignment shrinkToFit="0" vertical="top" wrapText="1"/>
    </xf>
    <xf borderId="16" fillId="8" fontId="16" numFmtId="167" xfId="0" applyAlignment="1" applyBorder="1" applyFont="1" applyNumberFormat="1">
      <alignment horizontal="center" vertical="center"/>
    </xf>
    <xf borderId="17" fillId="8" fontId="16" numFmtId="167" xfId="0" applyAlignment="1" applyBorder="1" applyFont="1" applyNumberFormat="1">
      <alignment horizontal="center" vertical="center"/>
    </xf>
    <xf borderId="0" fillId="0" fontId="12" numFmtId="0" xfId="0" applyAlignment="1" applyFont="1">
      <alignment horizontal="left" shrinkToFit="0" vertical="top" wrapText="1"/>
    </xf>
    <xf borderId="18" fillId="8" fontId="17" numFmtId="167" xfId="0" applyAlignment="1" applyBorder="1" applyFont="1" applyNumberFormat="1">
      <alignment horizontal="left" readingOrder="0" vertical="center"/>
    </xf>
    <xf borderId="0" fillId="8" fontId="18" numFmtId="167" xfId="0" applyAlignment="1" applyFont="1" applyNumberFormat="1">
      <alignment horizontal="right" vertical="center"/>
    </xf>
    <xf borderId="0" fillId="8" fontId="17" numFmtId="167" xfId="0" applyAlignment="1" applyFont="1" applyNumberFormat="1">
      <alignment horizontal="left" readingOrder="0" shrinkToFit="0" vertical="center" wrapText="0"/>
    </xf>
    <xf borderId="0" fillId="0" fontId="16" numFmtId="167" xfId="0" applyAlignment="1" applyFont="1" applyNumberFormat="1">
      <alignment horizontal="center" readingOrder="0" vertical="center"/>
    </xf>
    <xf borderId="0" fillId="8" fontId="16" numFmtId="167" xfId="0" applyAlignment="1" applyFont="1" applyNumberFormat="1">
      <alignment horizontal="center" readingOrder="0" vertical="center"/>
    </xf>
    <xf borderId="0" fillId="8" fontId="16" numFmtId="167" xfId="0" applyAlignment="1" applyFont="1" applyNumberFormat="1">
      <alignment horizontal="center" vertical="center"/>
    </xf>
    <xf borderId="0" fillId="0" fontId="9" numFmtId="0" xfId="0" applyAlignment="1" applyFont="1">
      <alignment horizontal="center"/>
    </xf>
    <xf borderId="0" fillId="0" fontId="9" numFmtId="0" xfId="0" applyAlignment="1" applyFont="1">
      <alignment horizontal="left" vertical="top"/>
    </xf>
    <xf borderId="0" fillId="0" fontId="9" numFmtId="0" xfId="0" applyAlignment="1" applyFont="1">
      <alignment horizontal="right" readingOrder="0" vertical="top"/>
    </xf>
    <xf borderId="0" fillId="0" fontId="9" numFmtId="0" xfId="0" applyAlignment="1" applyFont="1">
      <alignment horizontal="left" readingOrder="0" vertical="top"/>
    </xf>
    <xf borderId="0" fillId="0" fontId="9" numFmtId="0" xfId="0" applyAlignment="1" applyFont="1">
      <alignment horizontal="right" vertical="top"/>
    </xf>
    <xf borderId="13" fillId="8" fontId="19" numFmtId="0" xfId="0" applyAlignment="1" applyBorder="1" applyFont="1">
      <alignment horizontal="center" vertical="center"/>
    </xf>
    <xf borderId="0" fillId="11" fontId="8" numFmtId="0" xfId="0" applyAlignment="1" applyFill="1" applyFont="1">
      <alignment readingOrder="0" shrinkToFit="0" vertical="top" wrapText="1"/>
    </xf>
    <xf borderId="0" fillId="11" fontId="10" numFmtId="0" xfId="0" applyAlignment="1" applyFont="1">
      <alignment horizontal="left" readingOrder="0" shrinkToFit="0" vertical="top" wrapText="1"/>
    </xf>
    <xf borderId="0" fillId="11" fontId="9" numFmtId="3" xfId="0" applyAlignment="1" applyFont="1" applyNumberFormat="1">
      <alignment horizontal="right" readingOrder="0" shrinkToFit="1" vertical="center" wrapText="0"/>
    </xf>
    <xf borderId="0" fillId="7" fontId="9" numFmtId="0" xfId="0" applyAlignment="1" applyFont="1">
      <alignment horizontal="left" shrinkToFit="0" vertical="top" wrapText="1"/>
    </xf>
    <xf borderId="0" fillId="6" fontId="9" numFmtId="0" xfId="0" applyAlignment="1" applyFont="1">
      <alignment horizontal="left" shrinkToFit="0" vertical="top" wrapText="1"/>
    </xf>
    <xf borderId="0" fillId="6" fontId="9" numFmtId="3" xfId="0" applyAlignment="1" applyFont="1" applyNumberFormat="1">
      <alignment horizontal="right" shrinkToFit="1" vertical="center" wrapText="0"/>
    </xf>
    <xf borderId="0" fillId="2" fontId="10" numFmtId="0" xfId="0" applyAlignment="1" applyFont="1">
      <alignment horizontal="left" shrinkToFit="0" vertical="top" wrapText="1"/>
    </xf>
    <xf borderId="0" fillId="6" fontId="9" numFmtId="9" xfId="0" applyAlignment="1" applyFont="1" applyNumberFormat="1">
      <alignment horizontal="right" readingOrder="0" shrinkToFit="1" vertical="center" wrapText="0"/>
    </xf>
    <xf borderId="0" fillId="7" fontId="9" numFmtId="0" xfId="0" applyAlignment="1" applyFont="1">
      <alignment horizontal="left" shrinkToFit="0" vertical="center" wrapText="1"/>
    </xf>
    <xf borderId="0" fillId="6" fontId="9" numFmtId="0" xfId="0" applyAlignment="1" applyFont="1">
      <alignment horizontal="left" shrinkToFit="0" vertical="center" wrapText="1"/>
    </xf>
    <xf borderId="0" fillId="6" fontId="10" numFmtId="49" xfId="0" applyAlignment="1" applyFont="1" applyNumberFormat="1">
      <alignment horizontal="left" readingOrder="0" shrinkToFit="0" vertical="top" wrapText="1"/>
    </xf>
    <xf borderId="0" fillId="6" fontId="9" numFmtId="0" xfId="0" applyAlignment="1" applyFont="1">
      <alignment horizontal="left" readingOrder="0" shrinkToFit="0" vertical="top" wrapText="1"/>
    </xf>
    <xf borderId="0" fillId="7" fontId="9" numFmtId="49" xfId="0" applyAlignment="1" applyFont="1" applyNumberFormat="1">
      <alignment horizontal="left" readingOrder="0" shrinkToFit="0" vertical="center" wrapText="1"/>
    </xf>
    <xf borderId="0" fillId="7" fontId="9" numFmtId="0" xfId="0" applyAlignment="1" applyFont="1">
      <alignment horizontal="left" readingOrder="0" shrinkToFit="0" vertical="top" wrapText="1"/>
    </xf>
    <xf borderId="0" fillId="6" fontId="9" numFmtId="49" xfId="0" applyAlignment="1" applyFont="1" applyNumberFormat="1">
      <alignment horizontal="left" readingOrder="0" shrinkToFit="0" vertical="center" wrapText="1"/>
    </xf>
    <xf borderId="0" fillId="7" fontId="10" numFmtId="49" xfId="0" applyAlignment="1" applyFont="1" applyNumberFormat="1">
      <alignment horizontal="left" readingOrder="0" shrinkToFit="0" vertical="center" wrapText="1"/>
    </xf>
    <xf borderId="0" fillId="10" fontId="10" numFmtId="0" xfId="0" applyAlignment="1" applyFont="1">
      <alignment horizontal="left" readingOrder="0" shrinkToFit="0" vertical="top" wrapText="1"/>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76923C"/>
          <bgColor rgb="FF76923C"/>
        </patternFill>
      </fill>
      <border/>
    </dxf>
    <dxf>
      <font>
        <color rgb="FFFFFFFF"/>
      </font>
      <fill>
        <patternFill patternType="solid">
          <fgColor rgb="FFB7E1CD"/>
          <bgColor rgb="FFB7E1CD"/>
        </patternFill>
      </fill>
      <border/>
    </dxf>
    <dxf>
      <font>
        <color rgb="FF999999"/>
      </font>
      <fill>
        <patternFill patternType="solid">
          <fgColor rgb="FFFFFFFF"/>
          <bgColor rgb="FFFFFFFF"/>
        </patternFill>
      </fill>
      <border/>
    </dxf>
    <dxf>
      <font>
        <color rgb="FF666666"/>
      </font>
      <fill>
        <patternFill patternType="none"/>
      </fill>
      <border/>
    </dxf>
    <dxf>
      <font/>
      <fill>
        <patternFill patternType="solid">
          <fgColor rgb="FFB7E1CD"/>
          <bgColor rgb="FFB7E1CD"/>
        </patternFill>
      </fill>
      <border/>
    </dxf>
  </dxfs>
  <tableStyles count="2">
    <tableStyle count="2" pivot="0" name="Carga-style">
      <tableStyleElement dxfId="1" type="firstRowStripe"/>
      <tableStyleElement dxfId="2" type="secondRowStripe"/>
    </tableStyle>
    <tableStyle count="2" pivot="0" name="Copia_de_Carga-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104775</xdr:colOff>
      <xdr:row>0</xdr:row>
      <xdr:rowOff>0</xdr:rowOff>
    </xdr:from>
    <xdr:ext cx="2200275" cy="10858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104775</xdr:colOff>
      <xdr:row>0</xdr:row>
      <xdr:rowOff>0</xdr:rowOff>
    </xdr:from>
    <xdr:ext cx="2200275" cy="10858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8:F30" displayName="Table_1" name="Table_1" id="1">
  <tableColumns count="6">
    <tableColumn name="Column1" id="1"/>
    <tableColumn name="Column2" id="2"/>
    <tableColumn name="Column3" id="3"/>
    <tableColumn name="Column4" id="4"/>
    <tableColumn name="Column5" id="5"/>
    <tableColumn name="Column6" id="6"/>
  </tableColumns>
  <tableStyleInfo name="Carga-style" showColumnStripes="0" showFirstColumn="1" showLastColumn="1" showRowStripes="1"/>
</table>
</file>

<file path=xl/tables/table2.xml><?xml version="1.0" encoding="utf-8"?>
<table xmlns="http://schemas.openxmlformats.org/spreadsheetml/2006/main" headerRowCount="0" ref="A8:F30" displayName="Table_2" name="Table_2" id="2">
  <tableColumns count="6">
    <tableColumn name="Column1" id="1"/>
    <tableColumn name="Column2" id="2"/>
    <tableColumn name="Column3" id="3"/>
    <tableColumn name="Column4" id="4"/>
    <tableColumn name="Column5" id="5"/>
    <tableColumn name="Column6" id="6"/>
  </tableColumns>
  <tableStyleInfo name="Copia_de_Carg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aps.app.goo.gl/xuNo6YtDjecjWtoJ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4.38"/>
    <col customWidth="1" min="3" max="3" width="8.0"/>
    <col customWidth="1" min="4" max="4" width="20.5"/>
    <col customWidth="1" min="5" max="5" width="44.38"/>
    <col customWidth="1" min="6" max="8" width="14.38"/>
  </cols>
  <sheetData>
    <row r="1">
      <c r="A1" s="2" t="str">
        <f>Presupuesto!A15</f>
        <v/>
      </c>
      <c r="B1" s="2" t="str">
        <f>IFERROR(VLOOKUP(Carga!B8,Precios!D:K,8,0), "")</f>
        <v/>
      </c>
      <c r="C1" s="6" t="s">
        <v>10</v>
      </c>
      <c r="D1" s="8" t="str">
        <f>CONCATENATE(" ",C1," ",A1,"  ",B1)</f>
        <v> /   </v>
      </c>
    </row>
    <row r="2">
      <c r="A2" s="2" t="str">
        <f>Presupuesto!A16</f>
        <v/>
      </c>
      <c r="B2" s="2" t="str">
        <f>IFERROR(VLOOKUP(Carga!B9,Precios!D:K,8,0), "")</f>
        <v/>
      </c>
      <c r="C2" s="6" t="s">
        <v>10</v>
      </c>
      <c r="D2" s="2" t="str">
        <f t="shared" ref="D2:D23" si="1">CONCATENATE(" / ",A2,"  ",B2)</f>
        <v> /   </v>
      </c>
    </row>
    <row r="3">
      <c r="A3" s="2" t="str">
        <f>Presupuesto!A17</f>
        <v>08-03</v>
      </c>
      <c r="B3" s="2" t="str">
        <f>IFERROR(VLOOKUP(Carga!B10,Precios!D:K,8,0), "")</f>
        <v>Solo cableado, independientemente de la catidad de conductores.</v>
      </c>
      <c r="C3" s="6" t="s">
        <v>10</v>
      </c>
      <c r="D3" s="2" t="str">
        <f t="shared" si="1"/>
        <v> / 08-03  Solo cableado, independientemente de la catidad de conductores.</v>
      </c>
    </row>
    <row r="4">
      <c r="A4" s="2" t="str">
        <f>Presupuesto!A18</f>
        <v/>
      </c>
      <c r="B4" s="2" t="str">
        <f>IFERROR(VLOOKUP(Carga!B11,Precios!D:K,8,0), "")</f>
        <v/>
      </c>
      <c r="C4" s="6" t="s">
        <v>10</v>
      </c>
      <c r="D4" s="2" t="str">
        <f t="shared" si="1"/>
        <v> /   </v>
      </c>
    </row>
    <row r="5">
      <c r="A5" s="2" t="str">
        <f>Presupuesto!A19</f>
        <v/>
      </c>
      <c r="B5" s="2" t="str">
        <f>IFERROR(VLOOKUP(Carga!B12,Precios!D:K,8,0), "")</f>
        <v/>
      </c>
      <c r="C5" s="6" t="s">
        <v>10</v>
      </c>
      <c r="D5" s="2" t="str">
        <f t="shared" si="1"/>
        <v> /   </v>
      </c>
    </row>
    <row r="6">
      <c r="A6" s="2" t="str">
        <f>Presupuesto!A20</f>
        <v/>
      </c>
      <c r="B6" s="2" t="str">
        <f>IFERROR(VLOOKUP(Carga!B13,Precios!D:K,8,0), "")</f>
        <v/>
      </c>
      <c r="C6" s="6" t="s">
        <v>10</v>
      </c>
      <c r="D6" s="2" t="str">
        <f t="shared" si="1"/>
        <v> /   </v>
      </c>
    </row>
    <row r="7">
      <c r="A7" s="2" t="str">
        <f>Presupuesto!A21</f>
        <v/>
      </c>
      <c r="B7" s="2" t="str">
        <f>IFERROR(VLOOKUP(Carga!B14,Precios!D:K,8,0), "")</f>
        <v/>
      </c>
      <c r="C7" s="6" t="s">
        <v>10</v>
      </c>
      <c r="D7" s="2" t="str">
        <f t="shared" si="1"/>
        <v> /   </v>
      </c>
    </row>
    <row r="8">
      <c r="A8" s="2" t="str">
        <f>Presupuesto!A22</f>
        <v/>
      </c>
      <c r="B8" s="2" t="str">
        <f>IFERROR(VLOOKUP(Carga!B15,Precios!D:K,8,0), "")</f>
        <v/>
      </c>
      <c r="C8" s="6" t="s">
        <v>10</v>
      </c>
      <c r="D8" s="2" t="str">
        <f t="shared" si="1"/>
        <v> /   </v>
      </c>
    </row>
    <row r="9">
      <c r="A9" s="2" t="str">
        <f>Presupuesto!A23</f>
        <v/>
      </c>
      <c r="B9" s="2" t="str">
        <f>IFERROR(VLOOKUP(Carga!B16,Precios!D:K,8,0), "")</f>
        <v/>
      </c>
      <c r="C9" s="6" t="s">
        <v>10</v>
      </c>
      <c r="D9" s="2" t="str">
        <f t="shared" si="1"/>
        <v> /   </v>
      </c>
    </row>
    <row r="10">
      <c r="A10" s="2" t="str">
        <f>Presupuesto!A24</f>
        <v/>
      </c>
      <c r="B10" s="2" t="str">
        <f>IFERROR(VLOOKUP(Carga!B17,Precios!D:K,8,0), "")</f>
        <v/>
      </c>
      <c r="C10" s="6" t="s">
        <v>10</v>
      </c>
      <c r="D10" s="2" t="str">
        <f t="shared" si="1"/>
        <v> /   </v>
      </c>
    </row>
    <row r="11">
      <c r="A11" s="2" t="str">
        <f>Presupuesto!A25</f>
        <v/>
      </c>
      <c r="B11" s="2" t="str">
        <f>IFERROR(VLOOKUP(Carga!B18,Precios!D:K,8,0), "")</f>
        <v/>
      </c>
      <c r="C11" s="6" t="s">
        <v>10</v>
      </c>
      <c r="D11" s="2" t="str">
        <f t="shared" si="1"/>
        <v> /   </v>
      </c>
    </row>
    <row r="12">
      <c r="A12" s="2" t="str">
        <f>Presupuesto!A26</f>
        <v/>
      </c>
      <c r="B12" s="2" t="str">
        <f>IFERROR(VLOOKUP(Carga!B19,Precios!D:K,8,0), "")</f>
        <v/>
      </c>
      <c r="C12" s="6" t="s">
        <v>10</v>
      </c>
      <c r="D12" s="2" t="str">
        <f t="shared" si="1"/>
        <v> /   </v>
      </c>
    </row>
    <row r="13">
      <c r="A13" s="2" t="str">
        <f>Presupuesto!A27</f>
        <v/>
      </c>
      <c r="B13" s="2" t="str">
        <f>IFERROR(VLOOKUP(Carga!B20,Precios!D:K,8,0), "")</f>
        <v/>
      </c>
      <c r="C13" s="6" t="s">
        <v>10</v>
      </c>
      <c r="D13" s="2" t="str">
        <f t="shared" si="1"/>
        <v> /   </v>
      </c>
    </row>
    <row r="14">
      <c r="A14" s="2" t="str">
        <f>Presupuesto!A28</f>
        <v/>
      </c>
      <c r="B14" s="2" t="str">
        <f>IFERROR(VLOOKUP(Carga!B21,Precios!D:K,8,0), "")</f>
        <v/>
      </c>
      <c r="C14" s="6" t="s">
        <v>10</v>
      </c>
      <c r="D14" s="2" t="str">
        <f t="shared" si="1"/>
        <v> /   </v>
      </c>
    </row>
    <row r="15">
      <c r="A15" s="2" t="str">
        <f>Presupuesto!A29</f>
        <v/>
      </c>
      <c r="B15" s="2" t="str">
        <f>IFERROR(VLOOKUP(Carga!B22,Precios!D:K,8,0), "")</f>
        <v/>
      </c>
      <c r="C15" s="6" t="s">
        <v>10</v>
      </c>
      <c r="D15" s="2" t="str">
        <f t="shared" si="1"/>
        <v> /   </v>
      </c>
    </row>
    <row r="16">
      <c r="A16" s="2" t="str">
        <f>Presupuesto!A30</f>
        <v/>
      </c>
      <c r="B16" s="2" t="str">
        <f>IFERROR(VLOOKUP(Carga!B23,Precios!D:K,8,0), "")</f>
        <v/>
      </c>
      <c r="C16" s="6" t="s">
        <v>10</v>
      </c>
      <c r="D16" s="2" t="str">
        <f t="shared" si="1"/>
        <v> /   </v>
      </c>
    </row>
    <row r="17">
      <c r="A17" s="2" t="str">
        <f>Presupuesto!A31</f>
        <v/>
      </c>
      <c r="B17" s="2" t="str">
        <f>IFERROR(VLOOKUP(Carga!B24,Precios!D:K,8,0), "")</f>
        <v/>
      </c>
      <c r="C17" s="6" t="s">
        <v>10</v>
      </c>
      <c r="D17" s="2" t="str">
        <f t="shared" si="1"/>
        <v> /   </v>
      </c>
    </row>
    <row r="18">
      <c r="A18" s="2" t="str">
        <f>Presupuesto!A32</f>
        <v/>
      </c>
      <c r="B18" s="2" t="str">
        <f>IFERROR(VLOOKUP(Carga!B25,Precios!D:K,8,0), "")</f>
        <v/>
      </c>
      <c r="C18" s="6" t="s">
        <v>10</v>
      </c>
      <c r="D18" s="2" t="str">
        <f t="shared" si="1"/>
        <v> /   </v>
      </c>
    </row>
    <row r="19">
      <c r="A19" s="2" t="str">
        <f>Presupuesto!A33</f>
        <v/>
      </c>
      <c r="B19" s="2" t="str">
        <f>IFERROR(VLOOKUP(Carga!B26,Precios!D:K,8,0), "")</f>
        <v/>
      </c>
      <c r="C19" s="6" t="s">
        <v>10</v>
      </c>
      <c r="D19" s="2" t="str">
        <f t="shared" si="1"/>
        <v> /   </v>
      </c>
    </row>
    <row r="20">
      <c r="A20" s="2" t="str">
        <f>Presupuesto!A34</f>
        <v/>
      </c>
      <c r="B20" s="2" t="str">
        <f>IFERROR(VLOOKUP(Carga!B27,Precios!D:K,8,0), "")</f>
        <v/>
      </c>
      <c r="C20" s="6" t="s">
        <v>10</v>
      </c>
      <c r="D20" s="2" t="str">
        <f t="shared" si="1"/>
        <v> /   </v>
      </c>
    </row>
    <row r="21">
      <c r="A21" s="2" t="str">
        <f>Presupuesto!A35</f>
        <v/>
      </c>
      <c r="B21" s="2" t="str">
        <f>IFERROR(VLOOKUP(Carga!B28,Precios!D:K,8,0), "")</f>
        <v/>
      </c>
      <c r="C21" s="6" t="s">
        <v>10</v>
      </c>
      <c r="D21" s="2" t="str">
        <f t="shared" si="1"/>
        <v> /   </v>
      </c>
    </row>
    <row r="22">
      <c r="A22" s="2" t="str">
        <f>Presupuesto!A36</f>
        <v>01-02</v>
      </c>
      <c r="B22" s="2" t="str">
        <f>IFERROR(VLOOKUP(Carga!B29,Precios!D:K,8,0), "")</f>
        <v>Acometidas de acuerdo a los planos típicos según ET21 de EPEC. S/Materiales, S/Certificación, no incluye trabajos de albañilería</v>
      </c>
      <c r="C22" s="6" t="s">
        <v>10</v>
      </c>
      <c r="D22" s="2" t="str">
        <f t="shared" si="1"/>
        <v> / 01-02  Acometidas de acuerdo a los planos típicos según ET21 de EPEC. S/Materiales, S/Certificación, no incluye trabajos de albañilería</v>
      </c>
    </row>
    <row r="23">
      <c r="A23" s="2" t="str">
        <f>Presupuesto!A37</f>
        <v>01-04</v>
      </c>
      <c r="B23" s="2" t="str">
        <f>IFERROR(VLOOKUP(Carga!B30,Precios!D:K,8,0), "")</f>
        <v>Sin nota</v>
      </c>
      <c r="C23" s="6" t="s">
        <v>10</v>
      </c>
      <c r="D23" s="2" t="str">
        <f t="shared" si="1"/>
        <v> / 01-04  Sin nota</v>
      </c>
    </row>
    <row r="24" ht="117.0" customHeight="1">
      <c r="E24" s="24" t="str">
        <f>CONCATENATE(D1:D23)</f>
        <v> /    /    / 08-03  Solo cableado, independientemente de la catidad de conductores. /    /    /    /    /    /    /    /    /    /    /    /    /    /    /    /    /    /    / 01-02  Acometidas de acuerdo a los planos típicos según ET21 de EPEC. S/Materiales, S/Certificación, no incluye trabajos de albañilería / 01-04  Sin nota</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0</v>
      </c>
      <c r="B1" s="1" t="s">
        <v>1</v>
      </c>
      <c r="C1" s="1" t="s">
        <v>2</v>
      </c>
      <c r="D1" s="1" t="s">
        <v>3</v>
      </c>
      <c r="E1" s="1" t="s">
        <v>4</v>
      </c>
      <c r="F1" s="1" t="s">
        <v>5</v>
      </c>
    </row>
    <row r="2">
      <c r="A2" s="3">
        <v>46072.0</v>
      </c>
      <c r="B2" s="1" t="s">
        <v>6</v>
      </c>
      <c r="C2" s="1">
        <v>3.513559347E9</v>
      </c>
      <c r="D2" s="1" t="s">
        <v>7</v>
      </c>
      <c r="E2" s="4"/>
      <c r="F2" s="1"/>
    </row>
    <row r="3">
      <c r="A3" s="1" t="s">
        <v>8</v>
      </c>
      <c r="B3" s="1">
        <v>1.0</v>
      </c>
      <c r="C3" s="1">
        <v>43400.0</v>
      </c>
      <c r="D3" s="1">
        <v>43400.0</v>
      </c>
      <c r="E3" s="1"/>
      <c r="F3" s="1" t="s">
        <v>9</v>
      </c>
    </row>
    <row r="4">
      <c r="A4" s="1" t="s">
        <v>8</v>
      </c>
      <c r="B4" s="1">
        <v>1.0</v>
      </c>
      <c r="C4" s="1">
        <v>43400.0</v>
      </c>
      <c r="D4" s="1">
        <v>43400.0</v>
      </c>
      <c r="E4" s="4"/>
      <c r="F4" s="1">
        <v>292800.0</v>
      </c>
    </row>
    <row r="5">
      <c r="A5" s="1" t="s">
        <v>8</v>
      </c>
      <c r="B5" s="1">
        <v>1.0</v>
      </c>
      <c r="C5" s="1">
        <v>43400.0</v>
      </c>
      <c r="D5" s="1">
        <v>43400.0</v>
      </c>
      <c r="E5" s="4"/>
      <c r="F5" s="1">
        <v>292800.0</v>
      </c>
    </row>
    <row r="6">
      <c r="A6" s="1" t="s">
        <v>8</v>
      </c>
      <c r="B6" s="1">
        <v>1.0</v>
      </c>
      <c r="C6" s="1">
        <v>43400.0</v>
      </c>
      <c r="D6" s="1">
        <v>43400.0</v>
      </c>
      <c r="E6" s="4"/>
      <c r="F6" s="1">
        <v>292800.0</v>
      </c>
    </row>
    <row r="7">
      <c r="A7" s="1" t="s">
        <v>8</v>
      </c>
      <c r="B7" s="1">
        <v>1.0</v>
      </c>
      <c r="C7" s="1">
        <v>43400.0</v>
      </c>
      <c r="D7" s="1">
        <v>43400.0</v>
      </c>
      <c r="E7" s="4"/>
      <c r="F7" s="1">
        <v>-180000.0</v>
      </c>
    </row>
    <row r="8">
      <c r="A8" s="1" t="s">
        <v>8</v>
      </c>
      <c r="B8" s="1">
        <v>1.0</v>
      </c>
      <c r="C8" s="1">
        <v>43400.0</v>
      </c>
      <c r="D8" s="7">
        <v>2.387E16</v>
      </c>
      <c r="E8" s="4"/>
      <c r="F8" s="1">
        <v>-180000.0</v>
      </c>
    </row>
    <row r="9">
      <c r="A9" s="1" t="s">
        <v>11</v>
      </c>
      <c r="B9" s="1">
        <v>-2.0</v>
      </c>
      <c r="C9" s="1"/>
      <c r="D9" s="1">
        <v>180000.0</v>
      </c>
      <c r="E9" s="4">
        <v>0.0</v>
      </c>
      <c r="F9" s="1">
        <v>-360000.0</v>
      </c>
    </row>
    <row r="10">
      <c r="A10" s="1" t="s">
        <v>11</v>
      </c>
      <c r="B10" s="1">
        <v>-2.0</v>
      </c>
      <c r="C10" s="1"/>
      <c r="D10" s="1">
        <v>180000.0</v>
      </c>
      <c r="E10" s="4">
        <v>0.0</v>
      </c>
      <c r="F10" s="1">
        <v>-360000.0</v>
      </c>
    </row>
    <row r="11">
      <c r="A11" s="1" t="s">
        <v>11</v>
      </c>
      <c r="B11" s="1">
        <v>-2.0</v>
      </c>
      <c r="C11" s="1"/>
      <c r="D11" s="1">
        <v>180000.0</v>
      </c>
      <c r="E11" s="4">
        <v>0.0</v>
      </c>
      <c r="F11" s="1">
        <v>-360000.0</v>
      </c>
    </row>
    <row r="12">
      <c r="A12" s="1" t="s">
        <v>11</v>
      </c>
      <c r="B12" s="1">
        <v>-2.0</v>
      </c>
      <c r="C12" s="1"/>
      <c r="D12" s="1">
        <v>180000.0</v>
      </c>
      <c r="E12" s="4">
        <v>0.0</v>
      </c>
      <c r="F12" s="1">
        <v>-360000.0</v>
      </c>
    </row>
    <row r="13">
      <c r="A13" s="1" t="s">
        <v>11</v>
      </c>
      <c r="B13" s="1">
        <v>-2.0</v>
      </c>
      <c r="C13" s="1"/>
      <c r="D13" s="1">
        <v>180000.0</v>
      </c>
      <c r="E13" s="4">
        <v>0.0</v>
      </c>
      <c r="F13" s="1">
        <v>-360000.0</v>
      </c>
    </row>
    <row r="14">
      <c r="A14" s="1" t="s">
        <v>11</v>
      </c>
      <c r="B14" s="1">
        <v>-2.0</v>
      </c>
      <c r="C14" s="1"/>
      <c r="D14" s="1">
        <v>180000.0</v>
      </c>
      <c r="E14" s="4">
        <v>0.0</v>
      </c>
      <c r="F14" s="1">
        <v>-360000.0</v>
      </c>
    </row>
    <row r="15">
      <c r="A15" s="1" t="s">
        <v>11</v>
      </c>
      <c r="B15" s="1">
        <v>-2.0</v>
      </c>
      <c r="C15" s="1"/>
      <c r="D15" s="1">
        <v>180000.0</v>
      </c>
      <c r="E15" s="4">
        <v>0.0</v>
      </c>
      <c r="F15" s="1">
        <v>-360000.0</v>
      </c>
    </row>
    <row r="16">
      <c r="A16" s="1" t="s">
        <v>11</v>
      </c>
      <c r="B16" s="1">
        <v>-2.0</v>
      </c>
      <c r="C16" s="1"/>
      <c r="D16" s="1">
        <v>180000.0</v>
      </c>
      <c r="E16" s="4">
        <v>0.0</v>
      </c>
      <c r="F16" s="1">
        <v>-360000.0</v>
      </c>
    </row>
    <row r="17">
      <c r="A17" s="1" t="s">
        <v>11</v>
      </c>
      <c r="B17" s="1">
        <v>-2.0</v>
      </c>
      <c r="C17" s="1"/>
      <c r="D17" s="1">
        <v>180000.0</v>
      </c>
      <c r="E17" s="4">
        <v>0.0</v>
      </c>
      <c r="F17" s="1">
        <v>-360000.0</v>
      </c>
    </row>
    <row r="18">
      <c r="A18" s="1" t="s">
        <v>11</v>
      </c>
      <c r="B18" s="1">
        <v>-2.0</v>
      </c>
      <c r="D18" s="1">
        <v>180000.0</v>
      </c>
      <c r="E18" s="4">
        <v>0.0</v>
      </c>
      <c r="F18" s="1">
        <v>-360000.0</v>
      </c>
    </row>
    <row r="19">
      <c r="A19" s="1" t="s">
        <v>11</v>
      </c>
      <c r="B19" s="1">
        <v>-2.0</v>
      </c>
      <c r="D19" s="1">
        <v>180000.0</v>
      </c>
      <c r="E19" s="4">
        <v>0.0</v>
      </c>
      <c r="F19" s="1">
        <v>-360000.0</v>
      </c>
    </row>
    <row r="20">
      <c r="A20" s="1" t="s">
        <v>11</v>
      </c>
      <c r="B20" s="1">
        <v>-2.0</v>
      </c>
      <c r="D20" s="1">
        <v>180000.0</v>
      </c>
      <c r="E20" s="4">
        <v>0.0</v>
      </c>
      <c r="F20" s="1">
        <v>-360000.0</v>
      </c>
    </row>
    <row r="21">
      <c r="A21" s="1" t="s">
        <v>11</v>
      </c>
      <c r="B21" s="1">
        <v>-2.0</v>
      </c>
      <c r="D21" s="1">
        <v>180000.0</v>
      </c>
      <c r="E21" s="4">
        <v>0.0</v>
      </c>
      <c r="F21" s="1">
        <v>-360000.0</v>
      </c>
    </row>
    <row r="22">
      <c r="A22" s="1" t="s">
        <v>11</v>
      </c>
      <c r="B22" s="1">
        <v>-2.0</v>
      </c>
      <c r="C22" s="1"/>
      <c r="D22" s="1">
        <v>180000.0</v>
      </c>
      <c r="E22" s="4">
        <v>0.0</v>
      </c>
      <c r="F22" s="1">
        <v>-360000.0</v>
      </c>
    </row>
    <row r="23">
      <c r="A23" s="1" t="s">
        <v>11</v>
      </c>
      <c r="B23" s="1">
        <v>-2.0</v>
      </c>
      <c r="C23" s="1"/>
      <c r="D23" s="1">
        <v>180000.0</v>
      </c>
      <c r="E23" s="4">
        <v>0.0</v>
      </c>
      <c r="F23" s="1">
        <v>-360000.0</v>
      </c>
    </row>
    <row r="24">
      <c r="A24" s="1" t="s">
        <v>11</v>
      </c>
      <c r="B24" s="1">
        <v>-2.0</v>
      </c>
      <c r="C24" s="1"/>
      <c r="D24" s="1">
        <v>180000.0</v>
      </c>
      <c r="E24" s="4">
        <v>0.0</v>
      </c>
      <c r="F24" s="1">
        <v>-360000.0</v>
      </c>
    </row>
    <row r="25">
      <c r="A25" s="1" t="s">
        <v>11</v>
      </c>
      <c r="B25" s="1">
        <v>-2.0</v>
      </c>
      <c r="C25" s="1"/>
      <c r="D25" s="1">
        <v>180000.0</v>
      </c>
      <c r="E25" s="4">
        <v>0.0</v>
      </c>
      <c r="F25" s="1">
        <v>-360000.0</v>
      </c>
    </row>
    <row r="26">
      <c r="A26" s="1" t="s">
        <v>11</v>
      </c>
      <c r="B26" s="1">
        <v>-2.0</v>
      </c>
      <c r="C26" s="1"/>
      <c r="D26" s="1">
        <v>180000.0</v>
      </c>
      <c r="E26" s="4">
        <v>0.0</v>
      </c>
      <c r="F26" s="1">
        <v>-360000.0</v>
      </c>
    </row>
    <row r="27">
      <c r="A27" s="1" t="s">
        <v>11</v>
      </c>
      <c r="B27" s="1">
        <v>-2.0</v>
      </c>
      <c r="C27" s="1"/>
      <c r="D27" s="1">
        <v>180000.0</v>
      </c>
      <c r="E27" s="4">
        <v>0.0</v>
      </c>
      <c r="F27" s="1">
        <v>-360000.0</v>
      </c>
    </row>
    <row r="28">
      <c r="A28" s="1" t="s">
        <v>11</v>
      </c>
      <c r="B28" s="1">
        <v>-2.0</v>
      </c>
      <c r="D28" s="1">
        <v>180000.0</v>
      </c>
      <c r="E28" s="4">
        <v>0.0</v>
      </c>
      <c r="F28" s="1">
        <v>-360000.0</v>
      </c>
    </row>
    <row r="29">
      <c r="A29" s="1" t="s">
        <v>11</v>
      </c>
      <c r="B29" s="1">
        <v>-2.0</v>
      </c>
      <c r="D29" s="1">
        <v>180000.0</v>
      </c>
      <c r="E29" s="4">
        <v>0.0</v>
      </c>
      <c r="F29" s="1">
        <v>-360000.0</v>
      </c>
    </row>
    <row r="30">
      <c r="A30" s="1" t="s">
        <v>11</v>
      </c>
      <c r="B30" s="1">
        <v>-2.0</v>
      </c>
      <c r="D30" s="1">
        <v>180000.0</v>
      </c>
      <c r="E30" s="4">
        <v>0.0</v>
      </c>
      <c r="F30" s="1">
        <v>-360000.0</v>
      </c>
    </row>
    <row r="31">
      <c r="A31" s="1" t="s">
        <v>11</v>
      </c>
      <c r="B31" s="1">
        <v>-2.0</v>
      </c>
      <c r="D31" s="1">
        <v>180000.0</v>
      </c>
      <c r="E31" s="4">
        <v>0.0</v>
      </c>
      <c r="F31" s="1">
        <v>-360000.0</v>
      </c>
    </row>
    <row r="32">
      <c r="A32" s="1" t="s">
        <v>11</v>
      </c>
      <c r="B32" s="1">
        <v>-2.0</v>
      </c>
      <c r="C32" s="1"/>
      <c r="D32" s="1">
        <v>180000.0</v>
      </c>
      <c r="E32" s="4">
        <v>0.0</v>
      </c>
      <c r="F32" s="1">
        <v>-360000.0</v>
      </c>
    </row>
    <row r="33">
      <c r="A33" s="1" t="s">
        <v>11</v>
      </c>
      <c r="B33" s="1">
        <v>-2.0</v>
      </c>
      <c r="D33" s="1">
        <v>180000.0</v>
      </c>
      <c r="E33" s="4">
        <v>0.0</v>
      </c>
      <c r="F33" s="1">
        <v>-360000.0</v>
      </c>
    </row>
    <row r="34">
      <c r="A34" s="1" t="s">
        <v>11</v>
      </c>
      <c r="B34" s="1">
        <v>-2.0</v>
      </c>
      <c r="D34" s="1">
        <v>180000.0</v>
      </c>
      <c r="E34" s="4">
        <v>0.0</v>
      </c>
      <c r="F34" s="1">
        <v>-360000.0</v>
      </c>
    </row>
    <row r="35">
      <c r="A35" s="1" t="s">
        <v>11</v>
      </c>
      <c r="B35" s="1">
        <v>-2.0</v>
      </c>
      <c r="D35" s="1">
        <v>180000.0</v>
      </c>
      <c r="E35" s="4">
        <v>0.0</v>
      </c>
      <c r="F35" s="1">
        <v>-360000.0</v>
      </c>
    </row>
    <row r="36">
      <c r="A36" s="1" t="s">
        <v>11</v>
      </c>
      <c r="B36" s="1">
        <v>-2.0</v>
      </c>
      <c r="C36" s="1"/>
      <c r="D36" s="1">
        <v>180000.0</v>
      </c>
      <c r="E36" s="4">
        <v>0.0</v>
      </c>
      <c r="F36" s="1">
        <v>-360000.0</v>
      </c>
    </row>
    <row r="37">
      <c r="A37" s="1" t="s">
        <v>11</v>
      </c>
      <c r="B37" s="1">
        <v>-2.0</v>
      </c>
      <c r="C37" s="1" t="s">
        <v>16</v>
      </c>
      <c r="D37" s="1">
        <v>180000.0</v>
      </c>
      <c r="E37" s="4">
        <v>0.0</v>
      </c>
      <c r="F37" s="1">
        <v>-360000.0</v>
      </c>
    </row>
    <row r="41">
      <c r="E41"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 t="str">
        <f>IFERROR(__xludf.DUMMYFUNCTION("IMPORTRANGE(""https://docs.google.com/spreadsheets/d/1aPynYCYBaEafPC4rqTulMOzPg_guy_NLzZHOzvFJwyw/edit?usp=drivesdk"", ""Respuestas de formulario 1!A1:H150"")"),"Marca temporal")</f>
        <v>Marca temporal</v>
      </c>
      <c r="B1" s="2" t="str">
        <f>IFERROR(__xludf.DUMMYFUNCTION("""COMPUTED_VALUE"""),"Apellido y Nombre")</f>
        <v>Apellido y Nombre</v>
      </c>
      <c r="C1" s="2" t="str">
        <f>IFERROR(__xludf.DUMMYFUNCTION("""COMPUTED_VALUE"""),"Teléfono")</f>
        <v>Teléfono</v>
      </c>
      <c r="D1" s="2" t="str">
        <f>IFERROR(__xludf.DUMMYFUNCTION("""COMPUTED_VALUE"""),"Dirección")</f>
        <v>Dirección</v>
      </c>
      <c r="E1" s="2" t="str">
        <f>IFERROR(__xludf.DUMMYFUNCTION("""COMPUTED_VALUE"""),"Observaciones ")</f>
        <v>Observaciones </v>
      </c>
    </row>
    <row r="2">
      <c r="A2" s="5">
        <f>IFERROR(__xludf.DUMMYFUNCTION("""COMPUTED_VALUE"""),46065.8989693287)</f>
        <v>46065.89897</v>
      </c>
      <c r="B2" s="2" t="str">
        <f>IFERROR(__xludf.DUMMYFUNCTION("""COMPUTED_VALUE"""),"Villagrono Alfredus")</f>
        <v>Villagrono Alfredus</v>
      </c>
      <c r="C2" s="2">
        <f>IFERROR(__xludf.DUMMYFUNCTION("""COMPUTED_VALUE"""),3.513559347E9)</f>
        <v>3513559347</v>
      </c>
      <c r="D2" s="2" t="str">
        <f>IFERROR(__xludf.DUMMYFUNCTION("""COMPUTED_VALUE"""),"Enrique banchs 3281 los alamos")</f>
        <v>Enrique banchs 3281 los alamos</v>
      </c>
      <c r="E2" s="2" t="str">
        <f>IFERROR(__xludf.DUMMYFUNCTION("""COMPUTED_VALUE"""),"Alfredus Alfredus")</f>
        <v>Alfredus Alfredus</v>
      </c>
    </row>
    <row r="3">
      <c r="A3" s="5">
        <f>IFERROR(__xludf.DUMMYFUNCTION("""COMPUTED_VALUE"""),46065.90200585648)</f>
        <v>46065.90201</v>
      </c>
      <c r="B3" s="2" t="str">
        <f>IFERROR(__xludf.DUMMYFUNCTION("""COMPUTED_VALUE"""),"Federico Matisaleno")</f>
        <v>Federico Matisaleno</v>
      </c>
      <c r="C3" s="2">
        <f>IFERROR(__xludf.DUMMYFUNCTION("""COMPUTED_VALUE"""),3.518469723E9)</f>
        <v>3518469723</v>
      </c>
      <c r="D3" s="2" t="str">
        <f>IFERROR(__xludf.DUMMYFUNCTION("""COMPUTED_VALUE"""),"Domingo Zipoli 542 Cordoba ")</f>
        <v>Domingo Zipoli 542 Cordoba </v>
      </c>
      <c r="E3" s="2"/>
    </row>
    <row r="4">
      <c r="A4" s="5">
        <f>IFERROR(__xludf.DUMMYFUNCTION("""COMPUTED_VALUE"""),46065.914829490735)</f>
        <v>46065.91483</v>
      </c>
      <c r="B4" s="2" t="str">
        <f>IFERROR(__xludf.DUMMYFUNCTION("""COMPUTED_VALUE"""),"Lucianote Pabarotiitii")</f>
        <v>Lucianote Pabarotiitii</v>
      </c>
      <c r="C4" s="2">
        <f>IFERROR(__xludf.DUMMYFUNCTION("""COMPUTED_VALUE"""),3.513559347E9)</f>
        <v>3513559347</v>
      </c>
      <c r="D4" s="2" t="str">
        <f>IFERROR(__xludf.DUMMYFUNCTION("""COMPUTED_VALUE"""),"Domingo Funesialo 54612 Barro Campañaioni")</f>
        <v>Domingo Funesialo 54612 Barro Campañaioni</v>
      </c>
      <c r="E4" s="2"/>
    </row>
    <row r="5">
      <c r="A5" s="5">
        <f>IFERROR(__xludf.DUMMYFUNCTION("""COMPUTED_VALUE"""),46065.91937481481)</f>
        <v>46065.91937</v>
      </c>
      <c r="B5" s="2" t="str">
        <f>IFERROR(__xludf.DUMMYFUNCTION("""COMPUTED_VALUE"""),"Gorgoto")</f>
        <v>Gorgoto</v>
      </c>
      <c r="C5" s="2">
        <f>IFERROR(__xludf.DUMMYFUNCTION("""COMPUTED_VALUE"""),3.513559347E9)</f>
        <v>3513559347</v>
      </c>
      <c r="D5" s="2" t="str">
        <f>IFERROR(__xludf.DUMMYFUNCTION("""COMPUTED_VALUE"""),"Jsjsjjd bsjsj   51518  vdbjdj")</f>
        <v>Jsjsjjd bsjsj   51518  vdbjdj</v>
      </c>
      <c r="E5" s="2"/>
    </row>
    <row r="6">
      <c r="A6" s="5">
        <f>IFERROR(__xludf.DUMMYFUNCTION("""COMPUTED_VALUE"""),46067.909977083335)</f>
        <v>46067.90998</v>
      </c>
      <c r="B6" s="2" t="str">
        <f>IFERROR(__xludf.DUMMYFUNCTION("""COMPUTED_VALUE"""),"Lolito Supertino")</f>
        <v>Lolito Supertino</v>
      </c>
      <c r="C6" s="2">
        <f>IFERROR(__xludf.DUMMYFUNCTION("""COMPUTED_VALUE"""),3.513559347E9)</f>
        <v>3513559347</v>
      </c>
      <c r="D6" s="2" t="str">
        <f>IFERROR(__xludf.DUMMYFUNCTION("""COMPUTED_VALUE"""),"Bulevares de san juan 3456 Barrio Lopes de vega")</f>
        <v>Bulevares de san juan 3456 Barrio Lopes de vega</v>
      </c>
      <c r="E6" s="2"/>
    </row>
    <row r="7">
      <c r="A7" s="5">
        <f>IFERROR(__xludf.DUMMYFUNCTION("""COMPUTED_VALUE"""),46068.722087222224)</f>
        <v>46068.72209</v>
      </c>
      <c r="B7" s="2" t="str">
        <f>IFERROR(__xludf.DUMMYFUNCTION("""COMPUTED_VALUE"""),"Federico Orellano")</f>
        <v>Federico Orellano</v>
      </c>
      <c r="C7" s="2">
        <f>IFERROR(__xludf.DUMMYFUNCTION("""COMPUTED_VALUE"""),3.513559347E9)</f>
        <v>3513559347</v>
      </c>
      <c r="D7" s="2" t="str">
        <f>IFERROR(__xludf.DUMMYFUNCTION("""COMPUTED_VALUE"""),"Prueba 1234 Bro Prueba 1 cp 4321")</f>
        <v>Prueba 1234 Bro Prueba 1 cp 4321</v>
      </c>
      <c r="E7" s="2" t="str">
        <f>IFERROR(__xludf.DUMMYFUNCTION("""COMPUTED_VALUE"""),"Ywwjye")</f>
        <v>Ywwjye</v>
      </c>
    </row>
    <row r="8">
      <c r="A8" s="5">
        <f>IFERROR(__xludf.DUMMYFUNCTION("""COMPUTED_VALUE"""),46068.72213230324)</f>
        <v>46068.72213</v>
      </c>
      <c r="B8" s="2" t="str">
        <f>IFERROR(__xludf.DUMMYFUNCTION("""COMPUTED_VALUE"""),"Federico Orellano")</f>
        <v>Federico Orellano</v>
      </c>
      <c r="C8" s="2">
        <f>IFERROR(__xludf.DUMMYFUNCTION("""COMPUTED_VALUE"""),3.513559347E9)</f>
        <v>3513559347</v>
      </c>
      <c r="D8" s="2" t="str">
        <f>IFERROR(__xludf.DUMMYFUNCTION("""COMPUTED_VALUE"""),"Prueba 1234 Bro Prueba 1 cp 4321")</f>
        <v>Prueba 1234 Bro Prueba 1 cp 4321</v>
      </c>
      <c r="E8" s="2" t="str">
        <f>IFERROR(__xludf.DUMMYFUNCTION("""COMPUTED_VALUE"""),"eiie")</f>
        <v>eiie</v>
      </c>
    </row>
    <row r="9">
      <c r="A9" s="5">
        <f>IFERROR(__xludf.DUMMYFUNCTION("""COMPUTED_VALUE"""),46068.722922430556)</f>
        <v>46068.72292</v>
      </c>
      <c r="B9" s="2" t="str">
        <f>IFERROR(__xludf.DUMMYFUNCTION("""COMPUTED_VALUE"""),"Juanito")</f>
        <v>Juanito</v>
      </c>
      <c r="C9" s="2">
        <f>IFERROR(__xludf.DUMMYFUNCTION("""COMPUTED_VALUE"""),12345.0)</f>
        <v>12345</v>
      </c>
      <c r="D9" s="2" t="str">
        <f>IFERROR(__xludf.DUMMYFUNCTION("""COMPUTED_VALUE"""),"0987654321")</f>
        <v>0987654321</v>
      </c>
      <c r="E9" s="2" t="str">
        <f>IFERROR(__xludf.DUMMYFUNCTION("""COMPUTED_VALUE"""),"jjjt")</f>
        <v>jjjt</v>
      </c>
    </row>
    <row r="10">
      <c r="A10" s="5">
        <f>IFERROR(__xludf.DUMMYFUNCTION("""COMPUTED_VALUE"""),46068.726037500004)</f>
        <v>46068.72604</v>
      </c>
      <c r="B10" s="2" t="str">
        <f>IFERROR(__xludf.DUMMYFUNCTION("""COMPUTED_VALUE"""),"Nieva Prueba")</f>
        <v>Nieva Prueba</v>
      </c>
      <c r="C10" s="2">
        <f>IFERROR(__xludf.DUMMYFUNCTION("""COMPUTED_VALUE"""),3.513559347E9)</f>
        <v>3513559347</v>
      </c>
      <c r="D10" s="2" t="str">
        <f>IFERROR(__xludf.DUMMYFUNCTION("""COMPUTED_VALUE"""),"Dirección de prueba 1")</f>
        <v>Dirección de prueba 1</v>
      </c>
      <c r="E10" s="2"/>
    </row>
    <row r="11">
      <c r="A11" s="5">
        <f>IFERROR(__xludf.DUMMYFUNCTION("""COMPUTED_VALUE"""),46068.73903166667)</f>
        <v>46068.73903</v>
      </c>
      <c r="B11" s="2" t="str">
        <f>IFERROR(__xludf.DUMMYFUNCTION("""COMPUTED_VALUE"""),"Pepito monje")</f>
        <v>Pepito monje</v>
      </c>
      <c r="C11" s="2">
        <f>IFERROR(__xludf.DUMMYFUNCTION("""COMPUTED_VALUE"""),3.513559347E9)</f>
        <v>3513559347</v>
      </c>
      <c r="D11" s="2" t="str">
        <f>IFERROR(__xludf.DUMMYFUNCTION("""COMPUTED_VALUE"""),"Guntanamera 1020")</f>
        <v>Guntanamera 1020</v>
      </c>
      <c r="E11" s="2" t="str">
        <f>IFERROR(__xludf.DUMMYFUNCTION("""COMPUTED_VALUE"""),"rujrr")</f>
        <v>rujrr</v>
      </c>
    </row>
    <row r="12">
      <c r="A12" s="5">
        <f>IFERROR(__xludf.DUMMYFUNCTION("""COMPUTED_VALUE"""),46069.04093928241)</f>
        <v>46069.04094</v>
      </c>
      <c r="B12" s="2" t="str">
        <f>IFERROR(__xludf.DUMMYFUNCTION("""COMPUTED_VALUE"""),"Villagra Sergio")</f>
        <v>Villagra Sergio</v>
      </c>
      <c r="C12" s="2">
        <f>IFERROR(__xludf.DUMMYFUNCTION("""COMPUTED_VALUE"""),3.513559347E9)</f>
        <v>3513559347</v>
      </c>
      <c r="D12" s="2" t="str">
        <f>IFERROR(__xludf.DUMMYFUNCTION("""COMPUTED_VALUE"""),"Domingo Zipoli 4567 Barrio Alberdi CP 5002")</f>
        <v>Domingo Zipoli 4567 Barrio Alberdi CP 5002</v>
      </c>
      <c r="E12" s="2" t="str">
        <f>IFERROR(__xludf.DUMMYFUNCTION("""COMPUTED_VALUE"""),"eiie")</f>
        <v>eiie</v>
      </c>
    </row>
    <row r="13">
      <c r="A13" s="5">
        <f>IFERROR(__xludf.DUMMYFUNCTION("""COMPUTED_VALUE"""),46069.072799166664)</f>
        <v>46069.0728</v>
      </c>
      <c r="B13" s="2" t="str">
        <f>IFERROR(__xludf.DUMMYFUNCTION("""COMPUTED_VALUE"""),"Preuga corte de luz")</f>
        <v>Preuga corte de luz</v>
      </c>
      <c r="C13" s="2">
        <f>IFERROR(__xludf.DUMMYFUNCTION("""COMPUTED_VALUE"""),3.513559347E9)</f>
        <v>3513559347</v>
      </c>
      <c r="D13" s="2" t="str">
        <f>IFERROR(__xludf.DUMMYFUNCTION("""COMPUTED_VALUE"""),"Gregorio correa 1837 cp Kdkdk barrio")</f>
        <v>Gregorio correa 1837 cp Kdkdk barrio</v>
      </c>
      <c r="E13" s="2" t="str">
        <f>IFERROR(__xludf.DUMMYFUNCTION("""COMPUTED_VALUE"""),"rjjrjr")</f>
        <v>rjjrjr</v>
      </c>
    </row>
    <row r="14">
      <c r="A14" s="5">
        <f>IFERROR(__xludf.DUMMYFUNCTION("""COMPUTED_VALUE"""),46069.79447824074)</f>
        <v>46069.79448</v>
      </c>
      <c r="B14" s="2" t="str">
        <f>IFERROR(__xludf.DUMMYFUNCTION("""COMPUTED_VALUE"""),"Orueba123456")</f>
        <v>Orueba123456</v>
      </c>
      <c r="C14" s="2">
        <f>IFERROR(__xludf.DUMMYFUNCTION("""COMPUTED_VALUE"""),3.513559347E9)</f>
        <v>3513559347</v>
      </c>
      <c r="D14" s="2" t="str">
        <f>IFERROR(__xludf.DUMMYFUNCTION("""COMPUTED_VALUE"""),"Enrique banchs 3281 los alamos")</f>
        <v>Enrique banchs 3281 los alamos</v>
      </c>
      <c r="E14" s="2" t="str">
        <f>IFERROR(__xludf.DUMMYFUNCTION("""COMPUTED_VALUE"""),"iriri")</f>
        <v>iriri</v>
      </c>
    </row>
    <row r="15">
      <c r="A15" s="5">
        <f>IFERROR(__xludf.DUMMYFUNCTION("""COMPUTED_VALUE"""),46069.79786993055)</f>
        <v>46069.79787</v>
      </c>
      <c r="B15" s="2" t="str">
        <f>IFERROR(__xludf.DUMMYFUNCTION("""COMPUTED_VALUE"""),"Prueba numero 2")</f>
        <v>Prueba numero 2</v>
      </c>
      <c r="C15" s="2">
        <f>IFERROR(__xludf.DUMMYFUNCTION("""COMPUTED_VALUE"""),3.513559347E9)</f>
        <v>3513559347</v>
      </c>
      <c r="D15" s="12" t="str">
        <f>IFERROR(__xludf.DUMMYFUNCTION("""COMPUTED_VALUE"""),"https://maps.app.goo.gl/xuNo6YtDjecjWtoJ7")</f>
        <v>https://maps.app.goo.gl/xuNo6YtDjecjWtoJ7</v>
      </c>
      <c r="E15" s="2" t="str">
        <f>IFERROR(__xludf.DUMMYFUNCTION("""COMPUTED_VALUE"""),"ggg")</f>
        <v>ggg</v>
      </c>
    </row>
    <row r="16">
      <c r="A16" s="5">
        <f>IFERROR(__xludf.DUMMYFUNCTION("""COMPUTED_VALUE"""),46070.066752638886)</f>
        <v>46070.06675</v>
      </c>
      <c r="B16" s="2" t="str">
        <f>IFERROR(__xludf.DUMMYFUNCTION("""COMPUTED_VALUE"""),"Nuevo Nuevito peresoso")</f>
        <v>Nuevo Nuevito peresoso</v>
      </c>
      <c r="C16" s="2">
        <f>IFERROR(__xludf.DUMMYFUNCTION("""COMPUTED_VALUE"""),3.513559346E9)</f>
        <v>3513559346</v>
      </c>
      <c r="D16" s="2" t="str">
        <f>IFERROR(__xludf.DUMMYFUNCTION("""COMPUTED_VALUE"""),"Domingo Zipoli 2368 alberdi cordoba")</f>
        <v>Domingo Zipoli 2368 alberdi cordoba</v>
      </c>
      <c r="E16" s="2"/>
    </row>
    <row r="17">
      <c r="A17" s="5">
        <f>IFERROR(__xludf.DUMMYFUNCTION("""COMPUTED_VALUE"""),46070.47383278935)</f>
        <v>46070.47383</v>
      </c>
      <c r="B17" s="2" t="str">
        <f>IFERROR(__xludf.DUMMYFUNCTION("""COMPUTED_VALUE"""),"Ultima carga")</f>
        <v>Ultima carga</v>
      </c>
      <c r="C17" s="2">
        <f>IFERROR(__xludf.DUMMYFUNCTION("""COMPUTED_VALUE"""),3.513559347E9)</f>
        <v>3513559347</v>
      </c>
      <c r="D17" s="2" t="str">
        <f>IFERROR(__xludf.DUMMYFUNCTION("""COMPUTED_VALUE"""),"Ultima carga de prueba")</f>
        <v>Ultima carga de prueba</v>
      </c>
      <c r="E17" s="2"/>
    </row>
    <row r="18">
      <c r="A18" s="5">
        <f>IFERROR(__xludf.DUMMYFUNCTION("""COMPUTED_VALUE"""),46070.68906409723)</f>
        <v>46070.68906</v>
      </c>
      <c r="B18" s="2" t="str">
        <f>IFERROR(__xludf.DUMMYFUNCTION("""COMPUTED_VALUE"""),"Gorgito")</f>
        <v>Gorgito</v>
      </c>
      <c r="C18" s="2">
        <f>IFERROR(__xludf.DUMMYFUNCTION("""COMPUTED_VALUE"""),3.513589347E9)</f>
        <v>3513589347</v>
      </c>
      <c r="D18" s="2" t="str">
        <f>IFERROR(__xludf.DUMMYFUNCTION("""COMPUTED_VALUE"""),"Nieva dirección ")</f>
        <v>Nieva dirección </v>
      </c>
      <c r="E18" s="2"/>
    </row>
    <row r="19">
      <c r="A19" s="5">
        <f>IFERROR(__xludf.DUMMYFUNCTION("""COMPUTED_VALUE"""),46070.694844212965)</f>
        <v>46070.69484</v>
      </c>
      <c r="B19" s="2" t="str">
        <f>IFERROR(__xludf.DUMMYFUNCTION("""COMPUTED_VALUE"""),"Gonzalote")</f>
        <v>Gonzalote</v>
      </c>
      <c r="C19" s="2">
        <f>IFERROR(__xludf.DUMMYFUNCTION("""COMPUTED_VALUE"""),3.513559347E9)</f>
        <v>3513559347</v>
      </c>
      <c r="D19" s="2" t="str">
        <f>IFERROR(__xludf.DUMMYFUNCTION("""COMPUTED_VALUE"""),"Domingo zipoli 345
https://maps.app.goo.gl/vXvuksTmu9fyES1f7
")</f>
        <v>Domingo zipoli 345
https://maps.app.goo.gl/vXvuksTmu9fyES1f7
</v>
      </c>
      <c r="E19" s="2"/>
    </row>
    <row r="20">
      <c r="A20" s="5">
        <f>IFERROR(__xludf.DUMMYFUNCTION("""COMPUTED_VALUE"""),46070.73501456018)</f>
        <v>46070.73501</v>
      </c>
      <c r="B20" s="2" t="str">
        <f>IFERROR(__xludf.DUMMYFUNCTION("""COMPUTED_VALUE"""),"Anita Machado")</f>
        <v>Anita Machado</v>
      </c>
      <c r="C20" s="2">
        <f>IFERROR(__xludf.DUMMYFUNCTION("""COMPUTED_VALUE"""),3.513090975E9)</f>
        <v>3513090975</v>
      </c>
      <c r="D20" s="2" t="str">
        <f>IFERROR(__xludf.DUMMYFUNCTION("""COMPUTED_VALUE"""),"Ruta 20
Ruta 20 deliverys, Fructuoso Rivera 1063, Fructuoso Rivera 1000, X5000 Córdoba")</f>
        <v>Ruta 20
Ruta 20 deliverys, Fructuoso Rivera 1063, Fructuoso Rivera 1000, X5000 Córdoba</v>
      </c>
      <c r="E20" s="2" t="str">
        <f>IFERROR(__xludf.DUMMYFUNCTION("""COMPUTED_VALUE"""),"eia")</f>
        <v>eia</v>
      </c>
    </row>
    <row r="21">
      <c r="A21" s="5">
        <f>IFERROR(__xludf.DUMMYFUNCTION("""COMPUTED_VALUE"""),46070.990546932866)</f>
        <v>46070.99055</v>
      </c>
      <c r="B21" s="2" t="str">
        <f>IFERROR(__xludf.DUMMYFUNCTION("""COMPUTED_VALUE"""),"Prueba masemyerchef")</f>
        <v>Prueba masemyerchef</v>
      </c>
      <c r="C21" s="2">
        <f>IFERROR(__xludf.DUMMYFUNCTION("""COMPUTED_VALUE"""),3.513559345E9)</f>
        <v>3513559345</v>
      </c>
      <c r="D21" s="2" t="str">
        <f>IFERROR(__xludf.DUMMYFUNCTION("""COMPUTED_VALUE"""),"San Fernando 3245, Los Álamos, Córdoba, Provincia de Córdoba")</f>
        <v>San Fernando 3245, Los Álamos, Córdoba, Provincia de Córdoba</v>
      </c>
      <c r="E21" s="2"/>
    </row>
    <row r="22">
      <c r="A22" s="5">
        <f>IFERROR(__xludf.DUMMYFUNCTION("""COMPUTED_VALUE"""),46071.01636951389)</f>
        <v>46071.01637</v>
      </c>
      <c r="B22" s="2" t="str">
        <f>IFERROR(__xludf.DUMMYFUNCTION("""COMPUTED_VALUE"""),"Villagra Villagra")</f>
        <v>Villagra Villagra</v>
      </c>
      <c r="C22" s="2">
        <f>IFERROR(__xludf.DUMMYFUNCTION("""COMPUTED_VALUE"""),3.513559347E9)</f>
        <v>3513559347</v>
      </c>
      <c r="D22" s="2" t="str">
        <f>IFERROR(__xludf.DUMMYFUNCTION("""COMPUTED_VALUE"""),"Av. Leandro N. Alem 3900, Córdoba, Provincia de Córdoba")</f>
        <v>Av. Leandro N. Alem 3900, Córdoba, Provincia de Córdoba</v>
      </c>
      <c r="E22" s="2" t="str">
        <f>IFERROR(__xludf.DUMMYFUNCTION("""COMPUTED_VALUE"""),"Pruebillacitass")</f>
        <v>Pruebillacitass</v>
      </c>
    </row>
    <row r="23">
      <c r="A23" s="5">
        <f>IFERROR(__xludf.DUMMYFUNCTION("""COMPUTED_VALUE"""),46072.167987719906)</f>
        <v>46072.16799</v>
      </c>
      <c r="B23" s="2" t="str">
        <f>IFERROR(__xludf.DUMMYFUNCTION("""COMPUTED_VALUE"""),"Billa")</f>
        <v>Billa</v>
      </c>
      <c r="C23" s="2">
        <f>IFERROR(__xludf.DUMMYFUNCTION("""COMPUTED_VALUE"""),3.513559347E9)</f>
        <v>3513559347</v>
      </c>
      <c r="D23" s="2" t="str">
        <f>IFERROR(__xludf.DUMMYFUNCTION("""COMPUTED_VALUE"""),"Hshajs")</f>
        <v>Hshajs</v>
      </c>
      <c r="E23" s="2"/>
    </row>
    <row r="24">
      <c r="A24" s="5">
        <f>IFERROR(__xludf.DUMMYFUNCTION("""COMPUTED_VALUE"""),46072.17262324074)</f>
        <v>46072.17262</v>
      </c>
      <c r="B24" s="2" t="str">
        <f>IFERROR(__xludf.DUMMYFUNCTION("""COMPUTED_VALUE"""),"Kkkkkkkkkkk")</f>
        <v>Kkkkkkkkkkk</v>
      </c>
      <c r="C24" s="2">
        <f>IFERROR(__xludf.DUMMYFUNCTION("""COMPUTED_VALUE"""),3.513559347E9)</f>
        <v>3513559347</v>
      </c>
      <c r="D24" s="2" t="str">
        <f>IFERROR(__xludf.DUMMYFUNCTION("""COMPUTED_VALUE"""),"Kkkkkkkk")</f>
        <v>Kkkkkkkk</v>
      </c>
      <c r="E24" s="2"/>
    </row>
    <row r="25">
      <c r="A25" s="5">
        <f>IFERROR(__xludf.DUMMYFUNCTION("""COMPUTED_VALUE"""),46072.178416863426)</f>
        <v>46072.17842</v>
      </c>
      <c r="B25" s="2" t="str">
        <f>IFERROR(__xludf.DUMMYFUNCTION("""COMPUTED_VALUE"""),"Dies numeros")</f>
        <v>Dies numeros</v>
      </c>
      <c r="C25" s="2">
        <f>IFERROR(__xludf.DUMMYFUNCTION("""COMPUTED_VALUE"""),1.213615555E9)</f>
        <v>1213615555</v>
      </c>
      <c r="D25" s="2" t="str">
        <f>IFERROR(__xludf.DUMMYFUNCTION("""COMPUTED_VALUE"""),"Gshsh")</f>
        <v>Gshsh</v>
      </c>
      <c r="E25" s="2"/>
    </row>
    <row r="26">
      <c r="A26" s="5">
        <f>IFERROR(__xludf.DUMMYFUNCTION("""COMPUTED_VALUE"""),46072.17998886574)</f>
        <v>46072.17999</v>
      </c>
      <c r="B26" s="2" t="str">
        <f>IFERROR(__xludf.DUMMYFUNCTION("""COMPUTED_VALUE"""),"Otraprueba")</f>
        <v>Otraprueba</v>
      </c>
      <c r="C26" s="2">
        <f>IFERROR(__xludf.DUMMYFUNCTION("""COMPUTED_VALUE"""),1.23456789E9)</f>
        <v>1234567890</v>
      </c>
      <c r="D26" s="2" t="str">
        <f>IFERROR(__xludf.DUMMYFUNCTION("""COMPUTED_VALUE"""),"Otra prueba")</f>
        <v>Otra prueba</v>
      </c>
      <c r="E26" s="2" t="str">
        <f>IFERROR(__xludf.DUMMYFUNCTION("""COMPUTED_VALUE"""),"gg")</f>
        <v>gg</v>
      </c>
    </row>
    <row r="27">
      <c r="A27" s="5">
        <f>IFERROR(__xludf.DUMMYFUNCTION("""COMPUTED_VALUE"""),46072.195380798614)</f>
        <v>46072.19538</v>
      </c>
      <c r="B27" s="2" t="str">
        <f>IFERROR(__xludf.DUMMYFUNCTION("""COMPUTED_VALUE"""),"Ghhhhh")</f>
        <v>Ghhhhh</v>
      </c>
      <c r="C27" s="2">
        <f>IFERROR(__xludf.DUMMYFUNCTION("""COMPUTED_VALUE"""),5.213655566E9)</f>
        <v>5213655566</v>
      </c>
      <c r="D27" s="2" t="str">
        <f>IFERROR(__xludf.DUMMYFUNCTION("""COMPUTED_VALUE"""),"Ghh")</f>
        <v>Ghh</v>
      </c>
      <c r="E27" s="2"/>
    </row>
    <row r="28">
      <c r="A28" s="5">
        <f>IFERROR(__xludf.DUMMYFUNCTION("""COMPUTED_VALUE"""),46072.19978998843)</f>
        <v>46072.19979</v>
      </c>
      <c r="B28" s="2" t="str">
        <f>IFERROR(__xludf.DUMMYFUNCTION("""COMPUTED_VALUE"""),"Otra pruebexicixixixllla mas ")</f>
        <v>Otra pruebexicixixixllla mas </v>
      </c>
      <c r="C28" s="2">
        <f>IFERROR(__xludf.DUMMYFUNCTION("""COMPUTED_VALUE"""),3.512364676E9)</f>
        <v>3512364676</v>
      </c>
      <c r="D28" s="2" t="str">
        <f>IFERROR(__xludf.DUMMYFUNCTION("""COMPUTED_VALUE"""),"Ysysy")</f>
        <v>Ysysy</v>
      </c>
      <c r="E28" s="2"/>
    </row>
    <row r="29">
      <c r="A29" s="5">
        <f>IFERROR(__xludf.DUMMYFUNCTION("""COMPUTED_VALUE"""),46072.70643569445)</f>
        <v>46072.70644</v>
      </c>
      <c r="B29" s="2" t="str">
        <f>IFERROR(__xludf.DUMMYFUNCTION("""COMPUTED_VALUE"""),"Villagra Sergio Adrian")</f>
        <v>Villagra Sergio Adrian</v>
      </c>
      <c r="C29" s="2">
        <f>IFERROR(__xludf.DUMMYFUNCTION("""COMPUTED_VALUE"""),3.513559347E9)</f>
        <v>3513559347</v>
      </c>
      <c r="D29" s="2" t="str">
        <f>IFERROR(__xludf.DUMMYFUNCTION("""COMPUTED_VALUE"""),"Enrique Banchs 3281, X5012 Córdoba")</f>
        <v>Enrique Banchs 3281, X5012 Córdoba</v>
      </c>
      <c r="E29" s="2" t="str">
        <f>IFERROR(__xludf.DUMMYFUNCTION("""COMPUTED_VALUE"""),"El maximo 😎😎😎😎")</f>
        <v>El maximo 😎😎😎😎</v>
      </c>
    </row>
    <row r="30">
      <c r="A30" s="5">
        <f>IFERROR(__xludf.DUMMYFUNCTION("""COMPUTED_VALUE"""),46073.738713425926)</f>
        <v>46073.73871</v>
      </c>
      <c r="B30" s="2" t="str">
        <f>IFERROR(__xludf.DUMMYFUNCTION("""COMPUTED_VALUE"""),"Sergio Villagra MTX")</f>
        <v>Sergio Villagra MTX</v>
      </c>
      <c r="C30" s="2">
        <f>IFERROR(__xludf.DUMMYFUNCTION("""COMPUTED_VALUE"""),3.513559347E9)</f>
        <v>3513559347</v>
      </c>
      <c r="D30" s="2" t="str">
        <f>IFERROR(__xludf.DUMMYFUNCTION("""COMPUTED_VALUE"""),"Octavio Pinto 3457, Córdoba, Provincia de Córdoba")</f>
        <v>Octavio Pinto 3457, Córdoba, Provincia de Córdoba</v>
      </c>
      <c r="E30" s="2" t="str">
        <f>IFERROR(__xludf.DUMMYFUNCTION("""COMPUTED_VALUE"""),"Aqui se deben de colocar todas las observaciones.")</f>
        <v>Aqui se deben de colocar todas las observaciones.</v>
      </c>
    </row>
    <row r="31">
      <c r="A31" s="5">
        <f>IFERROR(__xludf.DUMMYFUNCTION("""COMPUTED_VALUE"""),46074.17716305556)</f>
        <v>46074.17716</v>
      </c>
      <c r="B31" s="2" t="str">
        <f>IFERROR(__xludf.DUMMYFUNCTION("""COMPUTED_VALUE"""),"Jeronimo ")</f>
        <v>Jeronimo </v>
      </c>
      <c r="C31" s="2">
        <f>IFERROR(__xludf.DUMMYFUNCTION("""COMPUTED_VALUE"""),3.513559347E9)</f>
        <v>3513559347</v>
      </c>
      <c r="D31" s="2" t="str">
        <f>IFERROR(__xludf.DUMMYFUNCTION("""COMPUTED_VALUE"""),"Jerónimo Luis de Cabrera 345, X5000GVG X5000GVG, Córdoba")</f>
        <v>Jerónimo Luis de Cabrera 345, X5000GVG X5000GVG, Córdoba</v>
      </c>
      <c r="E31" s="2" t="str">
        <f>IFERROR(__xludf.DUMMYFUNCTION("""COMPUTED_VALUE"""),"Modificaciones de datos ")</f>
        <v>Modificaciones de datos </v>
      </c>
    </row>
    <row r="32">
      <c r="A32" s="5">
        <f>IFERROR(__xludf.DUMMYFUNCTION("""COMPUTED_VALUE"""),46074.38879064815)</f>
        <v>46074.38879</v>
      </c>
      <c r="B32" s="2" t="str">
        <f>IFERROR(__xludf.DUMMYFUNCTION("""COMPUTED_VALUE"""),"Pepito Mpnje")</f>
        <v>Pepito Mpnje</v>
      </c>
      <c r="C32" s="2">
        <f>IFERROR(__xludf.DUMMYFUNCTION("""COMPUTED_VALUE"""),3.513559347E9)</f>
        <v>3513559347</v>
      </c>
      <c r="D32" s="2" t="str">
        <f>IFERROR(__xludf.DUMMYFUNCTION("""COMPUTED_VALUE"""),"La Rioja 368, X5022FRH Córdoba")</f>
        <v>La Rioja 368, X5022FRH Córdoba</v>
      </c>
      <c r="E32" s="2" t="str">
        <f>IFERROR(__xludf.DUMMYFUNCTION("""COMPUTED_VALUE"""),"Cliente conflictivo, avisado por otros electricistas ")</f>
        <v>Cliente conflictivo, avisado por otros electricistas </v>
      </c>
    </row>
    <row r="33">
      <c r="A33" s="5">
        <f>IFERROR(__xludf.DUMMYFUNCTION("""COMPUTED_VALUE"""),46082.04411354166)</f>
        <v>46082.04411</v>
      </c>
      <c r="B33" s="2" t="str">
        <f>IFERROR(__xludf.DUMMYFUNCTION("""COMPUTED_VALUE"""),"Leonel Suarez")</f>
        <v>Leonel Suarez</v>
      </c>
      <c r="C33" s="2">
        <f>IFERROR(__xludf.DUMMYFUNCTION("""COMPUTED_VALUE"""),3.516595494E9)</f>
        <v>3516595494</v>
      </c>
      <c r="D33" s="2" t="str">
        <f>IFERROR(__xludf.DUMMYFUNCTION("""COMPUTED_VALUE"""),"Enrique Banchs 3281, X5012 Córdoba")</f>
        <v>Enrique Banchs 3281, X5012 Córdoba</v>
      </c>
      <c r="E33" s="2" t="str">
        <f>IFERROR(__xludf.DUMMYFUNCTION("""COMPUTED_VALUE"""),"Cargamos cambios")</f>
        <v>Cargamos cambios</v>
      </c>
    </row>
    <row r="34">
      <c r="A34" s="5">
        <f>IFERROR(__xludf.DUMMYFUNCTION("""COMPUTED_VALUE"""),46087.56516125)</f>
        <v>46087.56516</v>
      </c>
      <c r="B34" s="2" t="str">
        <f>IFERROR(__xludf.DUMMYFUNCTION("""COMPUTED_VALUE"""),"Facundo Suarez Materiales Eléctricos")</f>
        <v>Facundo Suarez Materiales Eléctricos</v>
      </c>
      <c r="C34" s="2">
        <f>IFERROR(__xludf.DUMMYFUNCTION("""COMPUTED_VALUE"""),3.517693218E9)</f>
        <v>3517693218</v>
      </c>
      <c r="D34" s="2" t="str">
        <f>IFERROR(__xludf.DUMMYFUNCTION("""COMPUTED_VALUE"""),"Lino Eneas Spilimbergo 5000, X5001 Córdoba")</f>
        <v>Lino Eneas Spilimbergo 5000, X5001 Córdoba</v>
      </c>
      <c r="E34" s="2" t="str">
        <f>IFERROR(__xludf.DUMMYFUNCTION("""COMPUTED_VALUE"""),"www.sgselectricidad@gmail.com
SGS Materiales Eléctricos e Iluminación")</f>
        <v>www.sgselectricidad@gmail.com
SGS Materiales Eléctricos e Iluminación</v>
      </c>
    </row>
    <row r="35">
      <c r="A35" s="5">
        <f>IFERROR(__xludf.DUMMYFUNCTION("""COMPUTED_VALUE"""),46089.7175712037)</f>
        <v>46089.71757</v>
      </c>
      <c r="B35" s="2" t="str">
        <f>IFERROR(__xludf.DUMMYFUNCTION("""COMPUTED_VALUE"""),"Lara Suárez ")</f>
        <v>Lara Suárez </v>
      </c>
      <c r="C35" s="2">
        <f>IFERROR(__xludf.DUMMYFUNCTION("""COMPUTED_VALUE"""),3.513568653E9)</f>
        <v>3513568653</v>
      </c>
      <c r="D35" s="2" t="str">
        <f>IFERROR(__xludf.DUMMYFUNCTION("""COMPUTED_VALUE"""),"San Francisco 1231, X5012CSE Córdoba")</f>
        <v>San Francisco 1231, X5012CSE Córdoba</v>
      </c>
      <c r="E35" s="2" t="str">
        <f>IFERROR(__xludf.DUMMYFUNCTION("""COMPUTED_VALUE"""),"Chussasera !!! 😆")</f>
        <v>Chussasera !!! 😆</v>
      </c>
    </row>
    <row r="36">
      <c r="A36" s="5">
        <f>IFERROR(__xludf.DUMMYFUNCTION("""COMPUTED_VALUE"""),46089.88928736111)</f>
        <v>46089.88929</v>
      </c>
      <c r="B36" s="2" t="str">
        <f>IFERROR(__xludf.DUMMYFUNCTION("""COMPUTED_VALUE"""),"Sergio Villagra Prueba ")</f>
        <v>Sergio Villagra Prueba </v>
      </c>
      <c r="C36" s="2">
        <f>IFERROR(__xludf.DUMMYFUNCTION("""COMPUTED_VALUE"""),3.513559347E9)</f>
        <v>3513559347</v>
      </c>
      <c r="D36" s="2" t="str">
        <f>IFERROR(__xludf.DUMMYFUNCTION("""COMPUTED_VALUE"""),"Enrique Banchs 3281, X5012 Córdoba")</f>
        <v>Enrique Banchs 3281, X5012 Córdoba</v>
      </c>
      <c r="E36" s="2" t="str">
        <f>IFERROR(__xludf.DUMMYFUNCTION("""COMPUTED_VALUE"""),"Edicion nueva")</f>
        <v>Edicion nueva</v>
      </c>
    </row>
    <row r="37">
      <c r="A37" s="5">
        <f>IFERROR(__xludf.DUMMYFUNCTION("""COMPUTED_VALUE"""),46122.10008899306)</f>
        <v>46122.10009</v>
      </c>
      <c r="B37" s="2" t="str">
        <f>IFERROR(__xludf.DUMMYFUNCTION("""COMPUTED_VALUE"""),"Villagra Sergio ")</f>
        <v>Villagra Sergio </v>
      </c>
      <c r="C37" s="2">
        <f>IFERROR(__xludf.DUMMYFUNCTION("""COMPUTED_VALUE"""),3.513559347E9)</f>
        <v>3513559347</v>
      </c>
      <c r="D37" s="2" t="str">
        <f>IFERROR(__xludf.DUMMYFUNCTION("""COMPUTED_VALUE"""),"Enrique Banchs 3281, X5012 Córdoba")</f>
        <v>Enrique Banchs 3281, X5012 Córdoba</v>
      </c>
      <c r="E37" s="2"/>
    </row>
    <row r="38">
      <c r="A38" s="5">
        <f>IFERROR(__xludf.DUMMYFUNCTION("""COMPUTED_VALUE"""),46122.379640150466)</f>
        <v>46122.37964</v>
      </c>
      <c r="B38" s="2" t="str">
        <f>IFERROR(__xludf.DUMMYFUNCTION("""COMPUTED_VALUE"""),"VILLAGRATAA")</f>
        <v>VILLAGRATAA</v>
      </c>
      <c r="C38" s="2">
        <f>IFERROR(__xludf.DUMMYFUNCTION("""COMPUTED_VALUE"""),3.513559347E9)</f>
        <v>3513559347</v>
      </c>
      <c r="D38" s="2" t="str">
        <f>IFERROR(__xludf.DUMMYFUNCTION("""COMPUTED_VALUE"""),"Domingo Zípoli 267, X5000 Córdoba")</f>
        <v>Domingo Zípoli 267, X5000 Córdoba</v>
      </c>
      <c r="E38" s="2" t="str">
        <f>IFERROR(__xludf.DUMMYFUNCTION("""COMPUTED_VALUE"""),"CLIENTE: VILLAGRATAA
TELÉFONO: 3513559347
DIRECCIÓN: Domingo Zípoli 267, X5000 Córdoba
NOTAS: ")</f>
        <v>CLIENTE: VILLAGRATAA
TELÉFONO: 3513559347
DIRECCIÓN: Domingo Zípoli 267, X5000 Córdoba
NOTAS: </v>
      </c>
    </row>
    <row r="39">
      <c r="A39" s="5">
        <f>IFERROR(__xludf.DUMMYFUNCTION("""COMPUTED_VALUE"""),46122.74433998842)</f>
        <v>46122.74434</v>
      </c>
      <c r="B39" s="2" t="str">
        <f>IFERROR(__xludf.DUMMYFUNCTION("""COMPUTED_VALUE"""),"Hshsh")</f>
        <v>Hshsh</v>
      </c>
      <c r="C39" s="2">
        <f>IFERROR(__xludf.DUMMYFUNCTION("""COMPUTED_VALUE"""),1.23456789E9)</f>
        <v>1234567890</v>
      </c>
      <c r="D39" s="2" t="str">
        <f>IFERROR(__xludf.DUMMYFUNCTION("""COMPUTED_VALUE"""),"Octavio Pinto 3247, X5000 Córdoba")</f>
        <v>Octavio Pinto 3247, X5000 Córdoba</v>
      </c>
      <c r="E39" s="2" t="str">
        <f>IFERROR(__xludf.DUMMYFUNCTION("""COMPUTED_VALUE"""),"Teléfono agregado")</f>
        <v>Teléfono agregado</v>
      </c>
    </row>
    <row r="40">
      <c r="A40" s="5">
        <f>IFERROR(__xludf.DUMMYFUNCTION("""COMPUTED_VALUE"""),46122.744394629626)</f>
        <v>46122.74439</v>
      </c>
      <c r="B40" s="2" t="str">
        <f>IFERROR(__xludf.DUMMYFUNCTION("""COMPUTED_VALUE"""),"Hshsh")</f>
        <v>Hshsh</v>
      </c>
      <c r="C40" s="2" t="str">
        <f>IFERROR(__xludf.DUMMYFUNCTION("""COMPUTED_VALUE"""),"0123456789")</f>
        <v>0123456789</v>
      </c>
      <c r="D40" s="2" t="str">
        <f>IFERROR(__xludf.DUMMYFUNCTION("""COMPUTED_VALUE"""),"Octavio Pinto 3247, X5000 Córdoba")</f>
        <v>Octavio Pinto 3247, X5000 Córdoba</v>
      </c>
      <c r="E40" s="2"/>
    </row>
    <row r="41">
      <c r="A41" s="5">
        <f>IFERROR(__xludf.DUMMYFUNCTION("""COMPUTED_VALUE"""),46154.91371010417)</f>
        <v>46154.91371</v>
      </c>
      <c r="B41" s="2" t="str">
        <f>IFERROR(__xludf.DUMMYFUNCTION("""COMPUTED_VALUE"""),"AAAAAAAAAAAAAA")</f>
        <v>AAAAAAAAAAAAAA</v>
      </c>
      <c r="C41" s="2">
        <f>IFERROR(__xludf.DUMMYFUNCTION("""COMPUTED_VALUE"""),1.23456789E9)</f>
        <v>1234567890</v>
      </c>
      <c r="D41" s="2" t="str">
        <f>IFERROR(__xludf.DUMMYFUNCTION("""COMPUTED_VALUE"""),"Enrique Banchs 3281, X5012 Córdoba")</f>
        <v>Enrique Banchs 3281, X5012 Córdoba</v>
      </c>
      <c r="E41" s="2"/>
    </row>
    <row r="42">
      <c r="A42" s="5">
        <f>IFERROR(__xludf.DUMMYFUNCTION("""COMPUTED_VALUE"""),46174.44387469908)</f>
        <v>46174.44387</v>
      </c>
      <c r="B42" s="2" t="str">
        <f>IFERROR(__xludf.DUMMYFUNCTION("""COMPUTED_VALUE"""),"Ivan")</f>
        <v>Ivan</v>
      </c>
      <c r="C42" s="2">
        <f>IFERROR(__xludf.DUMMYFUNCTION("""COMPUTED_VALUE"""),2.966615418E9)</f>
        <v>2966615418</v>
      </c>
      <c r="D42" s="2" t="str">
        <f>IFERROR(__xludf.DUMMYFUNCTION("""COMPUTED_VALUE"""),"S/N")</f>
        <v>S/N</v>
      </c>
      <c r="E42" s="2"/>
    </row>
    <row r="43">
      <c r="A43" s="5">
        <f>IFERROR(__xludf.DUMMYFUNCTION("""COMPUTED_VALUE"""),46174.95804618056)</f>
        <v>46174.95805</v>
      </c>
      <c r="B43" s="2" t="str">
        <f>IFERROR(__xludf.DUMMYFUNCTION("""COMPUTED_VALUE"""),"EPAC")</f>
        <v>EPAC</v>
      </c>
      <c r="C43" s="2">
        <f>IFERROR(__xludf.DUMMYFUNCTION("""COMPUTED_VALUE"""),3.51815126E9)</f>
        <v>3518151260</v>
      </c>
      <c r="D43" s="2" t="str">
        <f>IFERROR(__xludf.DUMMYFUNCTION("""COMPUTED_VALUE"""),"Diag. Ica 1538, X5012 Córdoba")</f>
        <v>Diag. Ica 1538, X5012 Córdoba</v>
      </c>
      <c r="E43" s="2"/>
    </row>
    <row r="44">
      <c r="A44" s="5">
        <f>IFERROR(__xludf.DUMMYFUNCTION("""COMPUTED_VALUE"""),46181.3176121412)</f>
        <v>46181.31761</v>
      </c>
      <c r="B44" s="2" t="str">
        <f>IFERROR(__xludf.DUMMYFUNCTION("""COMPUTED_VALUE"""),"Luciana Garro")</f>
        <v>Luciana Garro</v>
      </c>
      <c r="C44" s="2">
        <f>IFERROR(__xludf.DUMMYFUNCTION("""COMPUTED_VALUE"""),3.515609308E9)</f>
        <v>3515609308</v>
      </c>
      <c r="D44" s="2" t="str">
        <f>IFERROR(__xludf.DUMMYFUNCTION("""COMPUTED_VALUE"""),"Justo Páez Molina 289, X5003FYF Córdoba")</f>
        <v>Justo Páez Molina 289, X5003FYF Córdoba</v>
      </c>
      <c r="E44" s="2"/>
    </row>
    <row r="45">
      <c r="A45" s="5">
        <f>IFERROR(__xludf.DUMMYFUNCTION("""COMPUTED_VALUE"""),46189.96543699074)</f>
        <v>46189.96544</v>
      </c>
      <c r="B45" s="2" t="str">
        <f>IFERROR(__xludf.DUMMYFUNCTION("""COMPUTED_VALUE"""),"Casella Florencia ")</f>
        <v>Casella Florencia </v>
      </c>
      <c r="C45" s="2">
        <f>IFERROR(__xludf.DUMMYFUNCTION("""COMPUTED_VALUE"""),3.515433326E9)</f>
        <v>3515433326</v>
      </c>
      <c r="D45" s="2" t="str">
        <f>IFERROR(__xludf.DUMMYFUNCTION("""COMPUTED_VALUE"""),"Gregorio Vélez 4520, X5009 Córdoba")</f>
        <v>Gregorio Vélez 4520, X5009 Córdoba</v>
      </c>
      <c r="E45" s="2"/>
    </row>
    <row r="46">
      <c r="A46" s="5">
        <f>IFERROR(__xludf.DUMMYFUNCTION("""COMPUTED_VALUE"""),46190.4854272338)</f>
        <v>46190.48543</v>
      </c>
      <c r="B46" s="2" t="str">
        <f>IFERROR(__xludf.DUMMYFUNCTION("""COMPUTED_VALUE"""),"Florencia Casella Stiefel")</f>
        <v>Florencia Casella Stiefel</v>
      </c>
      <c r="C46" s="2">
        <f>IFERROR(__xludf.DUMMYFUNCTION("""COMPUTED_VALUE"""),3.515433326E9)</f>
        <v>3515433326</v>
      </c>
      <c r="D46" s="2" t="str">
        <f>IFERROR(__xludf.DUMMYFUNCTION("""COMPUTED_VALUE"""),"Gregorio Vélez 4520, X5009 Córdoba")</f>
        <v>Gregorio Vélez 4520, X5009 Córdoba</v>
      </c>
      <c r="E46" s="2"/>
    </row>
    <row r="47">
      <c r="A47" s="2"/>
      <c r="B47" s="2"/>
      <c r="C47" s="2"/>
      <c r="D47" s="2"/>
      <c r="E47" s="2"/>
    </row>
    <row r="48">
      <c r="A48" s="2"/>
      <c r="B48" s="2"/>
      <c r="C48" s="2"/>
      <c r="D48" s="2"/>
      <c r="E48" s="2"/>
    </row>
    <row r="49">
      <c r="A49" s="2"/>
      <c r="B49" s="2"/>
      <c r="C49" s="2"/>
      <c r="D49" s="2"/>
      <c r="E49" s="2"/>
    </row>
    <row r="50">
      <c r="A50" s="2"/>
      <c r="B50" s="2"/>
      <c r="C50" s="2"/>
      <c r="D50" s="2"/>
      <c r="E50" s="2"/>
    </row>
    <row r="51">
      <c r="A51" s="2"/>
      <c r="B51" s="2"/>
      <c r="C51" s="2"/>
      <c r="D51" s="2"/>
      <c r="E51" s="2"/>
    </row>
    <row r="52">
      <c r="A52" s="2"/>
      <c r="B52" s="2"/>
      <c r="C52" s="2"/>
      <c r="D52" s="2"/>
      <c r="E52" s="2"/>
    </row>
    <row r="53">
      <c r="A53" s="2"/>
      <c r="B53" s="2"/>
      <c r="C53" s="2"/>
      <c r="D53" s="2"/>
      <c r="E53" s="2"/>
    </row>
    <row r="54">
      <c r="A54" s="2"/>
      <c r="B54" s="2"/>
      <c r="C54" s="2"/>
      <c r="D54" s="2"/>
      <c r="E54" s="2"/>
    </row>
    <row r="55">
      <c r="A55" s="2"/>
      <c r="B55" s="2"/>
      <c r="C55" s="2"/>
      <c r="D55" s="2"/>
      <c r="E55" s="2"/>
    </row>
    <row r="56">
      <c r="A56" s="2"/>
      <c r="B56" s="2"/>
      <c r="C56" s="2"/>
      <c r="D56" s="2"/>
      <c r="E56" s="2"/>
    </row>
    <row r="57">
      <c r="A57" s="2"/>
      <c r="B57" s="2"/>
      <c r="C57" s="2"/>
      <c r="D57" s="2"/>
      <c r="E57" s="2"/>
    </row>
    <row r="58">
      <c r="A58" s="2"/>
      <c r="B58" s="2"/>
      <c r="C58" s="2"/>
      <c r="D58" s="2"/>
      <c r="E58" s="2"/>
    </row>
    <row r="59">
      <c r="A59" s="2"/>
      <c r="B59" s="2"/>
      <c r="C59" s="2"/>
      <c r="D59" s="2"/>
      <c r="E59" s="2"/>
    </row>
    <row r="60">
      <c r="A60" s="2"/>
      <c r="B60" s="2"/>
      <c r="C60" s="2"/>
      <c r="D60" s="2"/>
      <c r="E60" s="2"/>
    </row>
    <row r="61">
      <c r="A61" s="2"/>
      <c r="B61" s="2"/>
      <c r="C61" s="2"/>
      <c r="D61" s="2"/>
      <c r="E61" s="2"/>
    </row>
    <row r="62">
      <c r="A62" s="2"/>
      <c r="B62" s="2"/>
      <c r="C62" s="2"/>
      <c r="D62" s="2"/>
      <c r="E62" s="2"/>
    </row>
    <row r="63">
      <c r="A63" s="2"/>
      <c r="B63" s="2"/>
      <c r="C63" s="2"/>
      <c r="D63" s="2"/>
      <c r="E63" s="2"/>
    </row>
    <row r="64">
      <c r="A64" s="2"/>
      <c r="B64" s="2"/>
      <c r="C64" s="2"/>
      <c r="D64" s="2"/>
      <c r="E64" s="2"/>
    </row>
    <row r="65">
      <c r="A65" s="2"/>
      <c r="B65" s="2"/>
      <c r="C65" s="2"/>
      <c r="D65" s="2"/>
      <c r="E65" s="2"/>
    </row>
    <row r="66">
      <c r="A66" s="2"/>
      <c r="B66" s="2"/>
      <c r="C66" s="2"/>
      <c r="D66" s="2"/>
      <c r="E66" s="2"/>
    </row>
    <row r="67">
      <c r="A67" s="2"/>
      <c r="B67" s="2"/>
      <c r="C67" s="2"/>
      <c r="D67" s="2"/>
      <c r="E67" s="2"/>
    </row>
    <row r="68">
      <c r="A68" s="2"/>
      <c r="B68" s="2"/>
      <c r="C68" s="2"/>
      <c r="D68" s="2"/>
      <c r="E68" s="2"/>
    </row>
    <row r="69">
      <c r="A69" s="2"/>
      <c r="B69" s="2"/>
      <c r="C69" s="2"/>
      <c r="D69" s="2"/>
      <c r="E69" s="2"/>
    </row>
    <row r="70">
      <c r="A70" s="2"/>
      <c r="B70" s="2"/>
      <c r="C70" s="2"/>
      <c r="D70" s="2"/>
      <c r="E70" s="2"/>
    </row>
    <row r="71">
      <c r="A71" s="2"/>
      <c r="B71" s="2"/>
      <c r="C71" s="2"/>
      <c r="D71" s="2"/>
      <c r="E71" s="2"/>
    </row>
    <row r="72">
      <c r="A72" s="2"/>
      <c r="B72" s="2"/>
      <c r="C72" s="2"/>
      <c r="D72" s="2"/>
      <c r="E72" s="2"/>
    </row>
    <row r="73">
      <c r="A73" s="2"/>
      <c r="B73" s="2"/>
      <c r="C73" s="2"/>
      <c r="D73" s="2"/>
      <c r="E73" s="2"/>
    </row>
    <row r="74">
      <c r="A74" s="2"/>
      <c r="B74" s="2"/>
      <c r="C74" s="2"/>
      <c r="D74" s="2"/>
      <c r="E74" s="2"/>
    </row>
    <row r="75">
      <c r="A75" s="2"/>
      <c r="B75" s="2"/>
      <c r="C75" s="2"/>
      <c r="D75" s="2"/>
      <c r="E75" s="2"/>
    </row>
    <row r="76">
      <c r="A76" s="2"/>
      <c r="B76" s="2"/>
      <c r="C76" s="2"/>
      <c r="D76" s="2"/>
      <c r="E76" s="2"/>
    </row>
    <row r="77">
      <c r="A77" s="2"/>
      <c r="B77" s="2"/>
      <c r="C77" s="2"/>
      <c r="D77" s="2"/>
      <c r="E77" s="2"/>
    </row>
    <row r="78">
      <c r="A78" s="2"/>
      <c r="B78" s="2"/>
      <c r="C78" s="2"/>
      <c r="D78" s="2"/>
      <c r="E78" s="2"/>
    </row>
    <row r="79">
      <c r="A79" s="2"/>
      <c r="B79" s="2"/>
      <c r="C79" s="2"/>
      <c r="D79" s="2"/>
      <c r="E79" s="2"/>
    </row>
    <row r="80">
      <c r="A80" s="2"/>
      <c r="B80" s="2"/>
      <c r="C80" s="2"/>
      <c r="D80" s="2"/>
      <c r="E80" s="2"/>
    </row>
    <row r="81">
      <c r="A81" s="2"/>
      <c r="B81" s="2"/>
      <c r="C81" s="2"/>
      <c r="D81" s="2"/>
      <c r="E81" s="2"/>
    </row>
    <row r="82">
      <c r="A82" s="2"/>
      <c r="B82" s="2"/>
      <c r="C82" s="2"/>
      <c r="D82" s="2"/>
      <c r="E82" s="2"/>
    </row>
    <row r="83">
      <c r="A83" s="2"/>
      <c r="B83" s="2"/>
      <c r="C83" s="2"/>
      <c r="D83" s="2"/>
      <c r="E83" s="2"/>
    </row>
    <row r="84">
      <c r="A84" s="2"/>
      <c r="B84" s="2"/>
      <c r="C84" s="2"/>
      <c r="D84" s="2"/>
      <c r="E84" s="2"/>
    </row>
    <row r="85">
      <c r="A85" s="2"/>
      <c r="B85" s="2"/>
      <c r="C85" s="2"/>
      <c r="D85" s="2"/>
      <c r="E85" s="2"/>
    </row>
    <row r="86">
      <c r="A86" s="2"/>
      <c r="B86" s="2"/>
      <c r="C86" s="2"/>
      <c r="D86" s="2"/>
      <c r="E86" s="2"/>
    </row>
    <row r="87">
      <c r="A87" s="2"/>
      <c r="B87" s="2"/>
      <c r="C87" s="2"/>
      <c r="D87" s="2"/>
      <c r="E87" s="2"/>
    </row>
    <row r="88">
      <c r="A88" s="2"/>
      <c r="B88" s="2"/>
      <c r="C88" s="2"/>
      <c r="D88" s="2"/>
      <c r="E88" s="2"/>
    </row>
    <row r="89">
      <c r="A89" s="2"/>
      <c r="B89" s="2"/>
      <c r="C89" s="2"/>
      <c r="D89" s="2"/>
      <c r="E89" s="2"/>
    </row>
    <row r="90">
      <c r="A90" s="2"/>
      <c r="B90" s="2"/>
      <c r="C90" s="2"/>
      <c r="D90" s="2"/>
      <c r="E90" s="2"/>
    </row>
    <row r="91">
      <c r="A91" s="2"/>
      <c r="B91" s="2"/>
      <c r="C91" s="2"/>
      <c r="D91" s="2"/>
      <c r="E91" s="2"/>
    </row>
    <row r="92">
      <c r="A92" s="2"/>
      <c r="B92" s="2"/>
      <c r="C92" s="2"/>
      <c r="D92" s="2"/>
      <c r="E92" s="2"/>
    </row>
    <row r="93">
      <c r="A93" s="2"/>
      <c r="B93" s="2"/>
      <c r="C93" s="2"/>
      <c r="D93" s="2"/>
      <c r="E93" s="2"/>
    </row>
    <row r="94">
      <c r="A94" s="2"/>
      <c r="B94" s="2"/>
      <c r="C94" s="2"/>
      <c r="D94" s="2"/>
      <c r="E94" s="2"/>
    </row>
    <row r="95">
      <c r="A95" s="2"/>
      <c r="B95" s="2"/>
      <c r="C95" s="2"/>
      <c r="D95" s="2"/>
      <c r="E95" s="2"/>
    </row>
    <row r="96">
      <c r="A96" s="2"/>
      <c r="B96" s="2"/>
      <c r="C96" s="2"/>
      <c r="D96" s="2"/>
      <c r="E96" s="2"/>
    </row>
    <row r="97">
      <c r="A97" s="2"/>
      <c r="B97" s="2"/>
      <c r="C97" s="2"/>
      <c r="D97" s="2"/>
      <c r="E97" s="2"/>
    </row>
    <row r="98">
      <c r="A98" s="2"/>
      <c r="B98" s="2"/>
      <c r="C98" s="2"/>
      <c r="D98" s="2"/>
      <c r="E98" s="2"/>
    </row>
    <row r="99">
      <c r="A99" s="2"/>
      <c r="B99" s="2"/>
      <c r="C99" s="2"/>
      <c r="D99" s="2"/>
      <c r="E99" s="2"/>
    </row>
    <row r="100">
      <c r="A100" s="2"/>
      <c r="B100" s="2"/>
      <c r="C100" s="2"/>
      <c r="D100" s="2"/>
      <c r="E100" s="2"/>
    </row>
    <row r="101">
      <c r="A101" s="2"/>
      <c r="B101" s="2"/>
      <c r="C101" s="2"/>
      <c r="D101" s="2"/>
      <c r="E101" s="2"/>
    </row>
    <row r="102">
      <c r="A102" s="2"/>
      <c r="B102" s="2"/>
      <c r="C102" s="2"/>
      <c r="D102" s="2"/>
      <c r="E102" s="2"/>
    </row>
    <row r="103">
      <c r="A103" s="2"/>
      <c r="B103" s="2"/>
      <c r="C103" s="2"/>
      <c r="D103" s="2"/>
      <c r="E103" s="2"/>
    </row>
    <row r="104">
      <c r="A104" s="2"/>
      <c r="B104" s="2"/>
      <c r="C104" s="2"/>
      <c r="D104" s="2"/>
      <c r="E104" s="2"/>
    </row>
    <row r="105">
      <c r="A105" s="2"/>
      <c r="B105" s="2"/>
      <c r="C105" s="2"/>
      <c r="D105" s="2"/>
      <c r="E105" s="2"/>
    </row>
    <row r="106">
      <c r="A106" s="2"/>
      <c r="B106" s="2"/>
      <c r="C106" s="2"/>
      <c r="D106" s="2"/>
      <c r="E106" s="2"/>
    </row>
    <row r="107">
      <c r="A107" s="2"/>
      <c r="B107" s="2"/>
      <c r="C107" s="2"/>
      <c r="D107" s="2"/>
      <c r="E107" s="2"/>
    </row>
    <row r="108">
      <c r="A108" s="2"/>
      <c r="B108" s="2"/>
      <c r="C108" s="2"/>
      <c r="D108" s="2"/>
      <c r="E108" s="2"/>
    </row>
    <row r="109">
      <c r="A109" s="2"/>
      <c r="B109" s="2"/>
      <c r="C109" s="2"/>
      <c r="D109" s="2"/>
      <c r="E109" s="2"/>
    </row>
    <row r="110">
      <c r="A110" s="2"/>
      <c r="B110" s="2"/>
      <c r="C110" s="2"/>
      <c r="D110" s="2"/>
      <c r="E110" s="2"/>
    </row>
    <row r="111">
      <c r="A111" s="2"/>
      <c r="B111" s="2"/>
      <c r="C111" s="2"/>
      <c r="D111" s="2"/>
      <c r="E111" s="2"/>
    </row>
    <row r="112">
      <c r="A112" s="2"/>
      <c r="B112" s="2"/>
      <c r="C112" s="2"/>
      <c r="D112" s="2"/>
      <c r="E112" s="2"/>
    </row>
    <row r="113">
      <c r="A113" s="2"/>
      <c r="B113" s="2"/>
      <c r="C113" s="2"/>
      <c r="D113" s="2"/>
      <c r="E113" s="2"/>
    </row>
    <row r="114">
      <c r="A114" s="2"/>
      <c r="B114" s="2"/>
      <c r="C114" s="2"/>
      <c r="D114" s="2"/>
      <c r="E114" s="2"/>
    </row>
    <row r="115">
      <c r="A115" s="2"/>
      <c r="B115" s="2"/>
      <c r="C115" s="2"/>
      <c r="D115" s="2"/>
      <c r="E115" s="2"/>
    </row>
    <row r="116">
      <c r="A116" s="2"/>
      <c r="B116" s="2"/>
      <c r="C116" s="2"/>
      <c r="D116" s="2"/>
      <c r="E116" s="2"/>
    </row>
    <row r="117">
      <c r="A117" s="2"/>
      <c r="B117" s="2"/>
      <c r="C117" s="2"/>
      <c r="D117" s="2"/>
      <c r="E117" s="2"/>
    </row>
    <row r="118">
      <c r="A118" s="2"/>
      <c r="B118" s="2"/>
      <c r="C118" s="2"/>
      <c r="D118" s="2"/>
      <c r="E118" s="2"/>
    </row>
    <row r="119">
      <c r="A119" s="2"/>
      <c r="B119" s="2"/>
      <c r="C119" s="2"/>
      <c r="D119" s="2"/>
      <c r="E119" s="2"/>
    </row>
    <row r="120">
      <c r="A120" s="2"/>
      <c r="B120" s="2"/>
      <c r="C120" s="2"/>
      <c r="D120" s="2"/>
      <c r="E120" s="2"/>
    </row>
    <row r="121">
      <c r="A121" s="2"/>
      <c r="B121" s="2"/>
      <c r="C121" s="2"/>
      <c r="D121" s="2"/>
      <c r="E121" s="2"/>
    </row>
    <row r="122">
      <c r="A122" s="2"/>
      <c r="B122" s="2"/>
      <c r="C122" s="2"/>
      <c r="D122" s="2"/>
      <c r="E122" s="2"/>
    </row>
    <row r="123">
      <c r="A123" s="2"/>
      <c r="B123" s="2"/>
      <c r="C123" s="2"/>
      <c r="D123" s="2"/>
      <c r="E123" s="2"/>
    </row>
    <row r="124">
      <c r="A124" s="2"/>
      <c r="B124" s="2"/>
      <c r="C124" s="2"/>
      <c r="D124" s="2"/>
      <c r="E124" s="2"/>
    </row>
    <row r="125">
      <c r="A125" s="2"/>
      <c r="B125" s="2"/>
      <c r="C125" s="2"/>
      <c r="D125" s="2"/>
      <c r="E125" s="2"/>
    </row>
    <row r="126">
      <c r="A126" s="2"/>
      <c r="B126" s="2"/>
      <c r="C126" s="2"/>
      <c r="D126" s="2"/>
      <c r="E126" s="2"/>
    </row>
    <row r="127">
      <c r="A127" s="2"/>
      <c r="B127" s="2"/>
      <c r="C127" s="2"/>
      <c r="D127" s="2"/>
      <c r="E127" s="2"/>
    </row>
    <row r="128">
      <c r="A128" s="2"/>
      <c r="B128" s="2"/>
      <c r="C128" s="2"/>
      <c r="D128" s="2"/>
      <c r="E128" s="2"/>
    </row>
    <row r="129">
      <c r="A129" s="2"/>
      <c r="B129" s="2"/>
      <c r="C129" s="2"/>
      <c r="D129" s="2"/>
      <c r="E129" s="2"/>
    </row>
    <row r="130">
      <c r="A130" s="2"/>
      <c r="B130" s="2"/>
      <c r="C130" s="2"/>
      <c r="D130" s="2"/>
      <c r="E130" s="2"/>
    </row>
    <row r="131">
      <c r="A131" s="2"/>
      <c r="B131" s="2"/>
      <c r="C131" s="2"/>
      <c r="D131" s="2"/>
      <c r="E131" s="2"/>
    </row>
    <row r="132">
      <c r="A132" s="2"/>
      <c r="B132" s="2"/>
      <c r="C132" s="2"/>
      <c r="D132" s="2"/>
      <c r="E132" s="2"/>
    </row>
    <row r="133">
      <c r="A133" s="2"/>
      <c r="B133" s="2"/>
      <c r="C133" s="2"/>
      <c r="D133" s="2"/>
      <c r="E133" s="2"/>
    </row>
    <row r="134">
      <c r="A134" s="2"/>
      <c r="B134" s="2"/>
      <c r="C134" s="2"/>
      <c r="D134" s="2"/>
      <c r="E134" s="2"/>
    </row>
    <row r="135">
      <c r="A135" s="2"/>
      <c r="B135" s="2"/>
      <c r="C135" s="2"/>
      <c r="D135" s="2"/>
      <c r="E135" s="2"/>
    </row>
    <row r="136">
      <c r="A136" s="2"/>
      <c r="B136" s="2"/>
      <c r="C136" s="2"/>
      <c r="D136" s="2"/>
      <c r="E136" s="2"/>
    </row>
    <row r="137">
      <c r="A137" s="2"/>
      <c r="B137" s="2"/>
      <c r="C137" s="2"/>
      <c r="D137" s="2"/>
      <c r="E137" s="2"/>
    </row>
    <row r="138">
      <c r="A138" s="2"/>
      <c r="B138" s="2"/>
      <c r="C138" s="2"/>
      <c r="D138" s="2"/>
      <c r="E138" s="2"/>
    </row>
    <row r="139">
      <c r="A139" s="2"/>
      <c r="B139" s="2"/>
      <c r="C139" s="2"/>
      <c r="D139" s="2"/>
      <c r="E139" s="2"/>
    </row>
    <row r="140">
      <c r="A140" s="2"/>
      <c r="B140" s="2"/>
      <c r="C140" s="2"/>
      <c r="D140" s="2"/>
      <c r="E140" s="2"/>
    </row>
    <row r="141">
      <c r="A141" s="2"/>
      <c r="B141" s="2"/>
      <c r="C141" s="2"/>
      <c r="D141" s="2"/>
      <c r="E141" s="2"/>
    </row>
    <row r="142">
      <c r="A142" s="2"/>
      <c r="B142" s="2"/>
      <c r="C142" s="2"/>
      <c r="D142" s="2"/>
      <c r="E142" s="2"/>
    </row>
    <row r="143">
      <c r="A143" s="2"/>
      <c r="B143" s="2"/>
      <c r="C143" s="2"/>
      <c r="D143" s="2"/>
      <c r="E143" s="2"/>
    </row>
    <row r="144">
      <c r="A144" s="2"/>
      <c r="B144" s="2"/>
      <c r="C144" s="2"/>
      <c r="D144" s="2"/>
      <c r="E144" s="2"/>
    </row>
    <row r="145">
      <c r="A145" s="2"/>
      <c r="B145" s="2"/>
      <c r="C145" s="2"/>
      <c r="D145" s="2"/>
      <c r="E145" s="2"/>
    </row>
    <row r="146">
      <c r="A146" s="2"/>
      <c r="B146" s="2"/>
      <c r="C146" s="2"/>
      <c r="D146" s="2"/>
      <c r="E146" s="2"/>
    </row>
    <row r="147">
      <c r="A147" s="2"/>
      <c r="B147" s="2"/>
      <c r="C147" s="2"/>
      <c r="D147" s="2"/>
      <c r="E147" s="2"/>
    </row>
    <row r="148">
      <c r="A148" s="2"/>
      <c r="B148" s="2"/>
      <c r="C148" s="2"/>
      <c r="D148" s="2"/>
      <c r="E148" s="2"/>
    </row>
    <row r="149">
      <c r="A149" s="2"/>
      <c r="B149" s="2"/>
      <c r="C149" s="2"/>
      <c r="D149" s="2"/>
      <c r="E149" s="2"/>
    </row>
    <row r="150">
      <c r="A150" s="2"/>
      <c r="B150" s="2"/>
      <c r="C150" s="2"/>
      <c r="D150" s="2"/>
      <c r="E150" s="2"/>
    </row>
  </sheetData>
  <hyperlinks>
    <hyperlink r:id="rId1" ref="D15"/>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showGridLines="0" workbookViewId="0"/>
  </sheetViews>
  <sheetFormatPr customHeight="1" defaultColWidth="12.63" defaultRowHeight="15.0"/>
  <cols>
    <col customWidth="1" min="1" max="1" width="26.25"/>
    <col customWidth="1" min="2" max="2" width="36.38"/>
    <col customWidth="1" min="3" max="3" width="6.0"/>
    <col customWidth="1" min="4" max="4" width="7.38"/>
    <col customWidth="1" min="5" max="5" width="8.88"/>
    <col customWidth="1" min="6" max="6" width="7.0"/>
    <col customWidth="1" min="7" max="7" width="7.75"/>
    <col customWidth="1" min="8" max="8" width="2.75"/>
    <col customWidth="1" min="9" max="9" width="8.38"/>
    <col customWidth="1" min="10" max="10" width="2.38"/>
    <col customWidth="1" min="11" max="11" width="9.38"/>
    <col customWidth="1" min="12" max="12" width="3.0"/>
    <col customWidth="1" min="13" max="13" width="9.0"/>
  </cols>
  <sheetData>
    <row r="2" ht="25.5" customHeight="1">
      <c r="A2" s="9" t="s">
        <v>12</v>
      </c>
      <c r="B2" s="10">
        <v>46067.0</v>
      </c>
    </row>
    <row r="3" ht="25.5" customHeight="1">
      <c r="A3" s="9" t="s">
        <v>13</v>
      </c>
      <c r="B3" s="11" t="s">
        <v>14</v>
      </c>
    </row>
    <row r="4" ht="25.5" customHeight="1">
      <c r="A4" s="9" t="s">
        <v>15</v>
      </c>
      <c r="B4" s="11" t="str">
        <f>VLOOKUP(B3,Clientes!B2:D200,3,0)</f>
        <v>Guntanamera 1020</v>
      </c>
    </row>
    <row r="5">
      <c r="C5" s="1"/>
      <c r="D5" s="1"/>
      <c r="E5" s="1"/>
    </row>
    <row r="6">
      <c r="A6" s="13" t="s">
        <v>17</v>
      </c>
      <c r="B6" s="13" t="s">
        <v>18</v>
      </c>
      <c r="C6" s="14" t="s">
        <v>19</v>
      </c>
      <c r="D6" s="15"/>
      <c r="E6" s="16"/>
      <c r="F6" s="17" t="s">
        <v>1</v>
      </c>
      <c r="G6" s="13" t="s">
        <v>20</v>
      </c>
      <c r="H6" s="18"/>
      <c r="I6" s="13" t="s">
        <v>21</v>
      </c>
      <c r="J6" s="18"/>
      <c r="K6" s="13" t="s">
        <v>22</v>
      </c>
      <c r="L6" s="18"/>
      <c r="M6" s="13" t="s">
        <v>23</v>
      </c>
    </row>
    <row r="7" ht="29.25" customHeight="1">
      <c r="A7" s="19"/>
      <c r="B7" s="19"/>
      <c r="C7" s="13" t="s">
        <v>24</v>
      </c>
      <c r="D7" s="13" t="s">
        <v>25</v>
      </c>
      <c r="E7" s="13" t="s">
        <v>26</v>
      </c>
      <c r="F7" s="19"/>
      <c r="G7" s="19"/>
      <c r="H7" s="20"/>
      <c r="I7" s="19"/>
      <c r="J7" s="18"/>
      <c r="K7" s="19"/>
      <c r="L7" s="18"/>
      <c r="M7" s="19"/>
    </row>
    <row r="8" ht="26.25" customHeight="1">
      <c r="A8" s="21" t="s">
        <v>27</v>
      </c>
      <c r="B8" s="21" t="s">
        <v>28</v>
      </c>
      <c r="C8" s="21"/>
      <c r="D8" s="21"/>
      <c r="E8" s="21"/>
      <c r="F8" s="21">
        <v>1.0</v>
      </c>
      <c r="G8" s="22" t="str">
        <f>IFERROR(VLOOKUP(B8,Precios!D:E,2,0), "")</f>
        <v/>
      </c>
      <c r="H8" s="23"/>
      <c r="I8" s="25" t="str">
        <f t="shared" ref="I8:I33" si="1">IF(G8*F8=0, "",G8*F8)</f>
        <v/>
      </c>
      <c r="K8" s="26">
        <f t="shared" ref="K8:K30" si="2">(SUM($I$8:$I$33)*C8)/-100</f>
        <v>0</v>
      </c>
      <c r="M8" s="27" t="str">
        <f t="shared" ref="M8:M33" si="3">IF(I8+K8=0, "",I8+K8)</f>
        <v/>
      </c>
    </row>
    <row r="9" ht="26.25" customHeight="1">
      <c r="A9" s="21" t="s">
        <v>29</v>
      </c>
      <c r="B9" s="21" t="s">
        <v>30</v>
      </c>
      <c r="C9" s="28"/>
      <c r="D9" s="21"/>
      <c r="E9" s="21"/>
      <c r="F9" s="21">
        <v>1.0</v>
      </c>
      <c r="G9" s="29" t="str">
        <f>IFERROR(VLOOKUP(B9,Precios!D:E,2,0), "")</f>
        <v/>
      </c>
      <c r="H9" s="30"/>
      <c r="I9" s="26" t="str">
        <f t="shared" si="1"/>
        <v/>
      </c>
      <c r="K9" s="26">
        <f t="shared" si="2"/>
        <v>0</v>
      </c>
      <c r="M9" s="31" t="str">
        <f t="shared" si="3"/>
        <v/>
      </c>
    </row>
    <row r="10" ht="26.25" customHeight="1">
      <c r="A10" s="21" t="s">
        <v>31</v>
      </c>
      <c r="B10" s="21" t="s">
        <v>32</v>
      </c>
      <c r="C10" s="21"/>
      <c r="D10" s="21"/>
      <c r="E10" s="21"/>
      <c r="F10" s="21">
        <v>1.0</v>
      </c>
      <c r="G10" s="29">
        <f>IFERROR(VLOOKUP(B10,Precios!D:E,2,0), "")</f>
        <v>56500</v>
      </c>
      <c r="H10" s="30"/>
      <c r="I10" s="26">
        <f t="shared" si="1"/>
        <v>56500</v>
      </c>
      <c r="K10" s="26">
        <f t="shared" si="2"/>
        <v>0</v>
      </c>
      <c r="M10" s="31">
        <f t="shared" si="3"/>
        <v>56500</v>
      </c>
    </row>
    <row r="11" ht="26.25" customHeight="1">
      <c r="A11" s="21" t="s">
        <v>29</v>
      </c>
      <c r="B11" s="21" t="s">
        <v>33</v>
      </c>
      <c r="C11" s="21">
        <v>45.0</v>
      </c>
      <c r="D11" s="21" t="s">
        <v>25</v>
      </c>
      <c r="E11" s="21"/>
      <c r="F11" s="21"/>
      <c r="G11" s="29" t="str">
        <f>IFERROR(VLOOKUP(B11,Precios!D:E,2,0), "")</f>
        <v/>
      </c>
      <c r="H11" s="30"/>
      <c r="I11" s="26" t="str">
        <f t="shared" si="1"/>
        <v/>
      </c>
      <c r="K11" s="26">
        <f t="shared" si="2"/>
        <v>-155475</v>
      </c>
      <c r="M11" s="31">
        <f t="shared" si="3"/>
        <v>-155475</v>
      </c>
    </row>
    <row r="12" ht="26.25" customHeight="1">
      <c r="A12" s="21"/>
      <c r="B12" s="21"/>
      <c r="C12" s="21"/>
      <c r="D12" s="21"/>
      <c r="E12" s="21"/>
      <c r="F12" s="21"/>
      <c r="G12" s="29" t="str">
        <f>IFERROR(VLOOKUP(B12,Precios!D:E,2,0), "")</f>
        <v/>
      </c>
      <c r="H12" s="30"/>
      <c r="I12" s="26" t="str">
        <f t="shared" si="1"/>
        <v/>
      </c>
      <c r="K12" s="26">
        <f t="shared" si="2"/>
        <v>0</v>
      </c>
      <c r="M12" s="31" t="str">
        <f t="shared" si="3"/>
        <v/>
      </c>
    </row>
    <row r="13" ht="26.25" customHeight="1">
      <c r="A13" s="21"/>
      <c r="B13" s="21"/>
      <c r="C13" s="21"/>
      <c r="D13" s="21"/>
      <c r="E13" s="21"/>
      <c r="F13" s="21"/>
      <c r="G13" s="29" t="str">
        <f>IFERROR(VLOOKUP(B13,Precios!D:E,2,0), "")</f>
        <v/>
      </c>
      <c r="H13" s="30"/>
      <c r="I13" s="26" t="str">
        <f t="shared" si="1"/>
        <v/>
      </c>
      <c r="K13" s="26">
        <f t="shared" si="2"/>
        <v>0</v>
      </c>
      <c r="M13" s="31" t="str">
        <f t="shared" si="3"/>
        <v/>
      </c>
    </row>
    <row r="14" ht="26.25" customHeight="1">
      <c r="A14" s="21"/>
      <c r="B14" s="21"/>
      <c r="C14" s="21"/>
      <c r="D14" s="21"/>
      <c r="E14" s="21"/>
      <c r="F14" s="21"/>
      <c r="G14" s="29" t="str">
        <f>IFERROR(VLOOKUP(B14,Precios!D:E,2,0), "")</f>
        <v/>
      </c>
      <c r="H14" s="30"/>
      <c r="I14" s="26" t="str">
        <f t="shared" si="1"/>
        <v/>
      </c>
      <c r="K14" s="26">
        <f t="shared" si="2"/>
        <v>0</v>
      </c>
      <c r="M14" s="31" t="str">
        <f t="shared" si="3"/>
        <v/>
      </c>
    </row>
    <row r="15" ht="26.25" customHeight="1">
      <c r="A15" s="21"/>
      <c r="B15" s="21"/>
      <c r="C15" s="21"/>
      <c r="D15" s="33"/>
      <c r="E15" s="28"/>
      <c r="F15" s="21"/>
      <c r="G15" s="29" t="str">
        <f>IFERROR(VLOOKUP(B15,Precios!D:E,2,0), "")</f>
        <v/>
      </c>
      <c r="H15" s="30"/>
      <c r="I15" s="26" t="str">
        <f t="shared" si="1"/>
        <v/>
      </c>
      <c r="K15" s="26">
        <f t="shared" si="2"/>
        <v>0</v>
      </c>
      <c r="M15" s="31" t="str">
        <f t="shared" si="3"/>
        <v/>
      </c>
    </row>
    <row r="16" ht="26.25" customHeight="1">
      <c r="A16" s="21"/>
      <c r="B16" s="21"/>
      <c r="C16" s="21"/>
      <c r="D16" s="33"/>
      <c r="E16" s="21"/>
      <c r="F16" s="28"/>
      <c r="G16" s="29" t="str">
        <f>IFERROR(VLOOKUP(B16,Precios!D:E,2,0), "")</f>
        <v/>
      </c>
      <c r="H16" s="30"/>
      <c r="I16" s="26" t="str">
        <f t="shared" si="1"/>
        <v/>
      </c>
      <c r="K16" s="26">
        <f t="shared" si="2"/>
        <v>0</v>
      </c>
      <c r="M16" s="31" t="str">
        <f t="shared" si="3"/>
        <v/>
      </c>
    </row>
    <row r="17" ht="26.25" customHeight="1">
      <c r="A17" s="21"/>
      <c r="B17" s="21"/>
      <c r="C17" s="21"/>
      <c r="D17" s="21"/>
      <c r="E17" s="28"/>
      <c r="F17" s="28"/>
      <c r="G17" s="29" t="str">
        <f>IFERROR(VLOOKUP(B17,Precios!D:E,2,0), "")</f>
        <v/>
      </c>
      <c r="H17" s="30"/>
      <c r="I17" s="26" t="str">
        <f t="shared" si="1"/>
        <v/>
      </c>
      <c r="K17" s="26">
        <f t="shared" si="2"/>
        <v>0</v>
      </c>
      <c r="M17" s="31" t="str">
        <f t="shared" si="3"/>
        <v/>
      </c>
    </row>
    <row r="18" ht="26.25" customHeight="1">
      <c r="A18" s="21"/>
      <c r="B18" s="21"/>
      <c r="C18" s="28"/>
      <c r="D18" s="21"/>
      <c r="E18" s="28"/>
      <c r="F18" s="21"/>
      <c r="G18" s="29" t="str">
        <f>IFERROR(VLOOKUP(B18,Precios!D:E,2,0), "")</f>
        <v/>
      </c>
      <c r="H18" s="30"/>
      <c r="I18" s="26" t="str">
        <f t="shared" si="1"/>
        <v/>
      </c>
      <c r="K18" s="26">
        <f t="shared" si="2"/>
        <v>0</v>
      </c>
      <c r="M18" s="31" t="str">
        <f t="shared" si="3"/>
        <v/>
      </c>
    </row>
    <row r="19" ht="26.25" customHeight="1">
      <c r="A19" s="21"/>
      <c r="B19" s="21"/>
      <c r="C19" s="28"/>
      <c r="D19" s="33"/>
      <c r="E19" s="28"/>
      <c r="F19" s="28"/>
      <c r="G19" s="29" t="str">
        <f>IFERROR(VLOOKUP(B19,Precios!D:E,2,0), "")</f>
        <v/>
      </c>
      <c r="H19" s="30"/>
      <c r="I19" s="26" t="str">
        <f t="shared" si="1"/>
        <v/>
      </c>
      <c r="K19" s="26">
        <f t="shared" si="2"/>
        <v>0</v>
      </c>
      <c r="M19" s="31" t="str">
        <f t="shared" si="3"/>
        <v/>
      </c>
    </row>
    <row r="20" ht="26.25" customHeight="1">
      <c r="A20" s="21"/>
      <c r="B20" s="21"/>
      <c r="C20" s="28"/>
      <c r="D20" s="33"/>
      <c r="E20" s="28"/>
      <c r="F20" s="28"/>
      <c r="G20" s="29" t="str">
        <f>IFERROR(VLOOKUP(B20,Precios!D:E,2,0), "")</f>
        <v/>
      </c>
      <c r="H20" s="30"/>
      <c r="I20" s="26" t="str">
        <f t="shared" si="1"/>
        <v/>
      </c>
      <c r="K20" s="26">
        <f t="shared" si="2"/>
        <v>0</v>
      </c>
      <c r="M20" s="31" t="str">
        <f t="shared" si="3"/>
        <v/>
      </c>
    </row>
    <row r="21" ht="26.25" customHeight="1">
      <c r="A21" s="28"/>
      <c r="B21" s="28"/>
      <c r="C21" s="28"/>
      <c r="D21" s="33"/>
      <c r="E21" s="28"/>
      <c r="F21" s="28"/>
      <c r="G21" s="29" t="str">
        <f>IFERROR(VLOOKUP(B21,Precios!D:E,2,0), "")</f>
        <v/>
      </c>
      <c r="H21" s="30"/>
      <c r="I21" s="26" t="str">
        <f t="shared" si="1"/>
        <v/>
      </c>
      <c r="K21" s="26">
        <f t="shared" si="2"/>
        <v>0</v>
      </c>
      <c r="M21" s="31" t="str">
        <f t="shared" si="3"/>
        <v/>
      </c>
    </row>
    <row r="22" ht="26.25" customHeight="1">
      <c r="A22" s="28"/>
      <c r="B22" s="28"/>
      <c r="C22" s="28"/>
      <c r="D22" s="33"/>
      <c r="E22" s="28"/>
      <c r="F22" s="28"/>
      <c r="G22" s="29" t="str">
        <f>IFERROR(VLOOKUP(B22,Precios!D:E,2,0), "")</f>
        <v/>
      </c>
      <c r="H22" s="30"/>
      <c r="I22" s="26" t="str">
        <f t="shared" si="1"/>
        <v/>
      </c>
      <c r="K22" s="26">
        <f t="shared" si="2"/>
        <v>0</v>
      </c>
      <c r="M22" s="31" t="str">
        <f t="shared" si="3"/>
        <v/>
      </c>
    </row>
    <row r="23" ht="26.25" customHeight="1">
      <c r="A23" s="28"/>
      <c r="B23" s="28"/>
      <c r="C23" s="28"/>
      <c r="D23" s="33"/>
      <c r="E23" s="28"/>
      <c r="F23" s="28"/>
      <c r="G23" s="29" t="str">
        <f>IFERROR(VLOOKUP(B23,Precios!D:E,2,0), "")</f>
        <v/>
      </c>
      <c r="H23" s="30"/>
      <c r="I23" s="26" t="str">
        <f t="shared" si="1"/>
        <v/>
      </c>
      <c r="K23" s="26">
        <f t="shared" si="2"/>
        <v>0</v>
      </c>
      <c r="M23" s="31" t="str">
        <f t="shared" si="3"/>
        <v/>
      </c>
    </row>
    <row r="24" ht="26.25" customHeight="1">
      <c r="A24" s="28"/>
      <c r="B24" s="28"/>
      <c r="C24" s="28"/>
      <c r="D24" s="33"/>
      <c r="E24" s="28"/>
      <c r="F24" s="28"/>
      <c r="G24" s="29" t="str">
        <f>IFERROR(VLOOKUP(B24,Precios!D:E,2,0), "")</f>
        <v/>
      </c>
      <c r="H24" s="30"/>
      <c r="I24" s="26" t="str">
        <f t="shared" si="1"/>
        <v/>
      </c>
      <c r="K24" s="26">
        <f t="shared" si="2"/>
        <v>0</v>
      </c>
      <c r="M24" s="31" t="str">
        <f t="shared" si="3"/>
        <v/>
      </c>
    </row>
    <row r="25" ht="26.25" customHeight="1">
      <c r="A25" s="28"/>
      <c r="B25" s="28"/>
      <c r="C25" s="28"/>
      <c r="D25" s="33"/>
      <c r="E25" s="28"/>
      <c r="F25" s="28"/>
      <c r="G25" s="29" t="str">
        <f>IFERROR(VLOOKUP(B25,Precios!D:E,2,0), "")</f>
        <v/>
      </c>
      <c r="H25" s="30"/>
      <c r="I25" s="26" t="str">
        <f t="shared" si="1"/>
        <v/>
      </c>
      <c r="K25" s="26">
        <f t="shared" si="2"/>
        <v>0</v>
      </c>
      <c r="M25" s="31" t="str">
        <f t="shared" si="3"/>
        <v/>
      </c>
    </row>
    <row r="26" ht="26.25" customHeight="1">
      <c r="A26" s="28"/>
      <c r="B26" s="28"/>
      <c r="C26" s="28"/>
      <c r="D26" s="33"/>
      <c r="E26" s="28"/>
      <c r="F26" s="28"/>
      <c r="G26" s="29" t="str">
        <f>IFERROR(VLOOKUP(B26,Precios!D:E,2,0), "")</f>
        <v/>
      </c>
      <c r="H26" s="30"/>
      <c r="I26" s="26" t="str">
        <f t="shared" si="1"/>
        <v/>
      </c>
      <c r="K26" s="26">
        <f t="shared" si="2"/>
        <v>0</v>
      </c>
      <c r="M26" s="31" t="str">
        <f t="shared" si="3"/>
        <v/>
      </c>
    </row>
    <row r="27" ht="26.25" customHeight="1">
      <c r="A27" s="28"/>
      <c r="B27" s="28"/>
      <c r="C27" s="28"/>
      <c r="D27" s="33"/>
      <c r="E27" s="28"/>
      <c r="F27" s="28"/>
      <c r="G27" s="29" t="str">
        <f>IFERROR(VLOOKUP(B27,Precios!D:E,2,0), "")</f>
        <v/>
      </c>
      <c r="H27" s="30"/>
      <c r="I27" s="26" t="str">
        <f t="shared" si="1"/>
        <v/>
      </c>
      <c r="K27" s="26">
        <f t="shared" si="2"/>
        <v>0</v>
      </c>
      <c r="M27" s="31" t="str">
        <f t="shared" si="3"/>
        <v/>
      </c>
    </row>
    <row r="28" ht="26.25" customHeight="1">
      <c r="A28" s="21"/>
      <c r="B28" s="21"/>
      <c r="C28" s="21"/>
      <c r="D28" s="21"/>
      <c r="E28" s="28"/>
      <c r="F28" s="28"/>
      <c r="G28" s="29" t="str">
        <f>IFERROR(VLOOKUP(B28,Precios!D:E,2,0), "")</f>
        <v/>
      </c>
      <c r="H28" s="30"/>
      <c r="I28" s="26" t="str">
        <f t="shared" si="1"/>
        <v/>
      </c>
      <c r="K28" s="26">
        <f t="shared" si="2"/>
        <v>0</v>
      </c>
      <c r="M28" s="31" t="str">
        <f t="shared" si="3"/>
        <v/>
      </c>
    </row>
    <row r="29" ht="26.25" customHeight="1">
      <c r="A29" s="21" t="s">
        <v>77</v>
      </c>
      <c r="B29" s="21" t="s">
        <v>79</v>
      </c>
      <c r="C29" s="21"/>
      <c r="D29" s="33"/>
      <c r="E29" s="28"/>
      <c r="F29" s="28"/>
      <c r="G29" s="29">
        <f>IFERROR(VLOOKUP(B29,Precios!D:E,2,0), "")</f>
        <v>222000</v>
      </c>
      <c r="H29" s="30"/>
      <c r="I29" s="26" t="str">
        <f t="shared" si="1"/>
        <v/>
      </c>
      <c r="K29" s="26">
        <f t="shared" si="2"/>
        <v>0</v>
      </c>
      <c r="M29" s="31" t="str">
        <f t="shared" si="3"/>
        <v/>
      </c>
    </row>
    <row r="30" ht="26.25" customHeight="1">
      <c r="A30" s="21" t="s">
        <v>77</v>
      </c>
      <c r="B30" s="21" t="s">
        <v>87</v>
      </c>
      <c r="C30" s="21"/>
      <c r="D30" s="21"/>
      <c r="E30" s="21"/>
      <c r="F30" s="21">
        <v>1.0</v>
      </c>
      <c r="G30" s="75">
        <f>IFERROR(VLOOKUP(B30,Precios!D:E,2,0), "")</f>
        <v>289000</v>
      </c>
      <c r="H30" s="77"/>
      <c r="I30" s="78">
        <f t="shared" si="1"/>
        <v>289000</v>
      </c>
      <c r="K30" s="26">
        <f t="shared" si="2"/>
        <v>0</v>
      </c>
      <c r="M30" s="79">
        <f t="shared" si="3"/>
        <v>289000</v>
      </c>
    </row>
    <row r="31" ht="18.75" customHeight="1">
      <c r="G31" s="2" t="str">
        <f>IFERROR(VLOOKUP(B31,Precios!D:E,2,0), "")</f>
        <v/>
      </c>
      <c r="I31" s="2" t="str">
        <f t="shared" si="1"/>
        <v/>
      </c>
      <c r="M31" s="2" t="str">
        <f t="shared" si="3"/>
        <v/>
      </c>
    </row>
    <row r="32" ht="18.75" customHeight="1">
      <c r="G32" s="2" t="str">
        <f>IFERROR(VLOOKUP(B32,Precios!D:E,2,0), "")</f>
        <v/>
      </c>
      <c r="I32" s="2" t="str">
        <f t="shared" si="1"/>
        <v/>
      </c>
      <c r="M32" s="2" t="str">
        <f t="shared" si="3"/>
        <v/>
      </c>
    </row>
    <row r="33" ht="18.75" customHeight="1">
      <c r="G33" s="2" t="str">
        <f>IFERROR(VLOOKUP(B33,Precios!D:E,2,0), "")</f>
        <v/>
      </c>
      <c r="I33" s="2" t="str">
        <f t="shared" si="1"/>
        <v/>
      </c>
      <c r="M33" s="2" t="str">
        <f t="shared" si="3"/>
        <v/>
      </c>
    </row>
    <row r="34" ht="18.75" customHeight="1">
      <c r="K34" s="81" t="s">
        <v>97</v>
      </c>
      <c r="M34" s="82">
        <f>SUMIF(M8:M30,"&gt;0")</f>
        <v>345500</v>
      </c>
    </row>
    <row r="35" ht="18.75" customHeight="1">
      <c r="K35" s="81" t="s">
        <v>101</v>
      </c>
      <c r="M35" s="82">
        <f>SUMIF(M8:M30,"&lt;0")</f>
        <v>-155475</v>
      </c>
    </row>
    <row r="36" ht="18.75" customHeight="1">
      <c r="A36" s="1"/>
      <c r="K36" s="82"/>
      <c r="L36" s="82"/>
      <c r="M36" s="82"/>
    </row>
    <row r="37" ht="18.75" customHeight="1">
      <c r="K37" s="81" t="s">
        <v>103</v>
      </c>
      <c r="M37" s="82">
        <f>SUM(M34,M35)</f>
        <v>190025</v>
      </c>
    </row>
    <row r="38" ht="18.75" customHeight="1"/>
    <row r="39" ht="18.75" customHeight="1">
      <c r="H39" s="1"/>
      <c r="I39" s="1" t="s">
        <v>106</v>
      </c>
    </row>
    <row r="40" ht="18.75" customHeight="1"/>
    <row r="41" ht="18.75" customHeight="1">
      <c r="A41" s="2">
        <f>IFERROR(__xludf.DUMMYFUNCTION("IMPORTRANGE(""https://docs.google.com/spreadsheets/d/1aPynYCYBaEafPC4rqTulMOzPg_guy_NLzZHOzvFJwyw/edit?usp=drivesdk"", ""Respuestas de formulario 1!C5"")"),3.513559347E9)</f>
        <v>3513559347</v>
      </c>
    </row>
  </sheetData>
  <mergeCells count="11">
    <mergeCell ref="K6:K7"/>
    <mergeCell ref="K34:L34"/>
    <mergeCell ref="K35:L35"/>
    <mergeCell ref="K37:L37"/>
    <mergeCell ref="A6:A7"/>
    <mergeCell ref="B6:B7"/>
    <mergeCell ref="C6:E6"/>
    <mergeCell ref="F6:F7"/>
    <mergeCell ref="G6:G7"/>
    <mergeCell ref="I6:I7"/>
    <mergeCell ref="M6:M7"/>
  </mergeCells>
  <conditionalFormatting sqref="A19">
    <cfRule type="colorScale" priority="1">
      <colorScale>
        <cfvo type="min"/>
        <cfvo type="max"/>
        <color rgb="FF57BB8A"/>
        <color rgb="FFFFFFFF"/>
      </colorScale>
    </cfRule>
  </conditionalFormatting>
  <dataValidations>
    <dataValidation type="list" allowBlank="1" sqref="B18">
      <formula1>'F1'!$K:$K</formula1>
    </dataValidation>
    <dataValidation type="list" allowBlank="1" sqref="B25">
      <formula1>'F1'!$R:$R</formula1>
    </dataValidation>
    <dataValidation type="list" allowBlank="1" sqref="B26">
      <formula1>'F1'!$S:$S</formula1>
    </dataValidation>
    <dataValidation type="list" allowBlank="1" sqref="A28">
      <formula1>Precios!$C23:$C41</formula1>
    </dataValidation>
    <dataValidation type="list" allowBlank="1" sqref="A8:A27">
      <formula1>Precios!$C2:$C41</formula1>
    </dataValidation>
    <dataValidation type="list" allowBlank="1" sqref="B27">
      <formula1>'F1'!$T:$T</formula1>
    </dataValidation>
    <dataValidation type="list" allowBlank="1" sqref="B15">
      <formula1>'F1'!$H:$H</formula1>
    </dataValidation>
    <dataValidation type="list" allowBlank="1" sqref="B11">
      <formula1>'F1'!$D:$D</formula1>
    </dataValidation>
    <dataValidation type="list" allowBlank="1" sqref="B20">
      <formula1>'F1'!$M:$M</formula1>
    </dataValidation>
    <dataValidation type="list" allowBlank="1" sqref="B10">
      <formula1>'F1'!$C:$C</formula1>
    </dataValidation>
    <dataValidation type="list" allowBlank="1" sqref="A29">
      <formula1>Precios!$C25:$C41</formula1>
    </dataValidation>
    <dataValidation type="list" allowBlank="1" sqref="B19">
      <formula1>'F1'!$L:$L</formula1>
    </dataValidation>
    <dataValidation type="list" allowBlank="1" sqref="B24">
      <formula1>'F1'!$Q:$Q</formula1>
    </dataValidation>
    <dataValidation type="list" allowBlank="1" sqref="A30">
      <formula1>Precios!$C26:$C41</formula1>
    </dataValidation>
    <dataValidation type="list" allowBlank="1" sqref="B3">
      <formula1>Clientes!B2:B200</formula1>
    </dataValidation>
    <dataValidation type="list" allowBlank="1" sqref="B28">
      <formula1>'F1'!$U:$U</formula1>
    </dataValidation>
    <dataValidation type="list" allowBlank="1" sqref="B14">
      <formula1>'F1'!$G:$G</formula1>
    </dataValidation>
    <dataValidation type="list" allowBlank="1" sqref="B29">
      <formula1>'F1'!$V:$V</formula1>
    </dataValidation>
    <dataValidation type="list" allowBlank="1" sqref="B30">
      <formula1>'F1'!$W:$W</formula1>
    </dataValidation>
    <dataValidation type="list" allowBlank="1" sqref="B9">
      <formula1>'F1'!$B:$B</formula1>
    </dataValidation>
    <dataValidation type="list" allowBlank="1" sqref="D8:D30">
      <formula1>"%,-"</formula1>
    </dataValidation>
    <dataValidation type="list" allowBlank="1" sqref="B21">
      <formula1>'F1'!$N:$N</formula1>
    </dataValidation>
    <dataValidation type="list" allowBlank="1" sqref="B23">
      <formula1>'F1'!$P:$P</formula1>
    </dataValidation>
    <dataValidation type="list" allowBlank="1" sqref="B13">
      <formula1>'F1'!$F:$F</formula1>
    </dataValidation>
    <dataValidation type="list" allowBlank="1" sqref="B8">
      <formula1>'F1'!$A:$A</formula1>
    </dataValidation>
    <dataValidation type="list" allowBlank="1" sqref="B17">
      <formula1>'F1'!$J:$J</formula1>
    </dataValidation>
    <dataValidation type="list" allowBlank="1" sqref="B22">
      <formula1>'F1'!$O:$O</formula1>
    </dataValidation>
    <dataValidation type="list" allowBlank="1" sqref="B16">
      <formula1>'F1'!$I:$I</formula1>
    </dataValidation>
    <dataValidation type="list" allowBlank="1" sqref="B12">
      <formula1>'F1'!$E:$E</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showGridLines="0" workbookViewId="0"/>
  </sheetViews>
  <sheetFormatPr customHeight="1" defaultColWidth="12.63" defaultRowHeight="15.0"/>
  <cols>
    <col customWidth="1" min="1" max="1" width="10.5"/>
    <col customWidth="1" min="2" max="2" width="36.38"/>
    <col customWidth="1" min="3" max="3" width="6.0"/>
    <col customWidth="1" min="4" max="4" width="7.38"/>
    <col customWidth="1" min="5" max="5" width="8.88"/>
    <col customWidth="1" min="6" max="6" width="7.0"/>
    <col customWidth="1" min="7" max="7" width="7.75"/>
    <col customWidth="1" min="8" max="8" width="2.75"/>
    <col customWidth="1" min="9" max="9" width="8.38"/>
    <col customWidth="1" min="10" max="10" width="2.38"/>
    <col customWidth="1" min="11" max="11" width="9.38"/>
    <col customWidth="1" min="12" max="12" width="3.0"/>
    <col customWidth="1" min="13" max="13" width="9.0"/>
  </cols>
  <sheetData>
    <row r="2" ht="25.5" customHeight="1">
      <c r="A2" s="9" t="s">
        <v>12</v>
      </c>
      <c r="B2" s="10">
        <v>46067.0</v>
      </c>
    </row>
    <row r="3" ht="25.5" customHeight="1">
      <c r="A3" s="9" t="s">
        <v>13</v>
      </c>
      <c r="B3" s="11" t="s">
        <v>14</v>
      </c>
    </row>
    <row r="4" ht="25.5" customHeight="1">
      <c r="A4" s="9" t="s">
        <v>15</v>
      </c>
      <c r="B4" s="11" t="str">
        <f>VLOOKUP(B3,Clientes!B2:D200,3,0)</f>
        <v>Guntanamera 1020</v>
      </c>
    </row>
    <row r="5">
      <c r="C5" s="1"/>
      <c r="D5" s="1"/>
      <c r="E5" s="1"/>
    </row>
    <row r="6">
      <c r="A6" s="13" t="s">
        <v>17</v>
      </c>
      <c r="B6" s="13" t="s">
        <v>18</v>
      </c>
      <c r="C6" s="14" t="s">
        <v>19</v>
      </c>
      <c r="D6" s="15"/>
      <c r="E6" s="16"/>
      <c r="F6" s="17" t="s">
        <v>1</v>
      </c>
      <c r="G6" s="13" t="s">
        <v>20</v>
      </c>
      <c r="H6" s="18"/>
      <c r="I6" s="13" t="s">
        <v>21</v>
      </c>
      <c r="J6" s="18"/>
      <c r="K6" s="13" t="s">
        <v>22</v>
      </c>
      <c r="L6" s="18"/>
      <c r="M6" s="13" t="s">
        <v>23</v>
      </c>
    </row>
    <row r="7" ht="29.25" customHeight="1">
      <c r="A7" s="19"/>
      <c r="B7" s="19"/>
      <c r="C7" s="13" t="s">
        <v>24</v>
      </c>
      <c r="D7" s="13" t="s">
        <v>25</v>
      </c>
      <c r="E7" s="13" t="s">
        <v>26</v>
      </c>
      <c r="F7" s="19"/>
      <c r="G7" s="19"/>
      <c r="H7" s="20"/>
      <c r="I7" s="19"/>
      <c r="J7" s="18"/>
      <c r="K7" s="19"/>
      <c r="L7" s="18"/>
      <c r="M7" s="19"/>
    </row>
    <row r="8" ht="26.25" customHeight="1">
      <c r="A8" s="21"/>
      <c r="B8" s="32">
        <f>Hoja8!A2</f>
        <v>46072</v>
      </c>
      <c r="C8" s="21"/>
      <c r="D8" s="21"/>
      <c r="E8" s="21"/>
      <c r="F8" s="21" t="str">
        <f>Hoja8!B2</f>
        <v>Villagrono Alfredus</v>
      </c>
      <c r="G8" s="22" t="str">
        <f>IFERROR(VLOOKUP(B8,Precios!D:E,2,0), "")</f>
        <v/>
      </c>
      <c r="H8" s="23"/>
      <c r="I8" s="25" t="str">
        <f t="shared" ref="I8:I33" si="1">IF(G8*F8=0, "",G8*F8)</f>
        <v>#VALUE!</v>
      </c>
      <c r="K8" s="26" t="str">
        <f t="shared" ref="K8:K30" si="2">(SUM($I$8:$I$33)*C8)/-100</f>
        <v>#VALUE!</v>
      </c>
      <c r="M8" s="27" t="str">
        <f t="shared" ref="M8:M33" si="3">IF(I8+K8=0, "",I8+K8)</f>
        <v>#VALUE!</v>
      </c>
    </row>
    <row r="9" ht="26.25" customHeight="1">
      <c r="A9" s="21"/>
      <c r="B9" s="21" t="str">
        <f>Hoja8!A3</f>
        <v>Instalación a altura h&lt;4mts con perfil C P/ BPC 100 a 300</v>
      </c>
      <c r="C9" s="28"/>
      <c r="D9" s="21"/>
      <c r="E9" s="21"/>
      <c r="F9" s="21">
        <f>Hoja8!B3</f>
        <v>1</v>
      </c>
      <c r="G9" s="29">
        <f>IFERROR(VLOOKUP(B9,Precios!D:E,2,0), "")</f>
        <v>51700</v>
      </c>
      <c r="H9" s="30"/>
      <c r="I9" s="26">
        <f t="shared" si="1"/>
        <v>51700</v>
      </c>
      <c r="K9" s="26" t="str">
        <f t="shared" si="2"/>
        <v>#VALUE!</v>
      </c>
      <c r="M9" s="31" t="str">
        <f t="shared" si="3"/>
        <v>#VALUE!</v>
      </c>
    </row>
    <row r="10" ht="26.25" customHeight="1">
      <c r="A10" s="21"/>
      <c r="B10" s="21" t="str">
        <f>Hoja8!A4</f>
        <v>Instalación a altura h&lt;4mts con perfil C P/ BPC 100 a 300</v>
      </c>
      <c r="C10" s="21"/>
      <c r="D10" s="21"/>
      <c r="E10" s="21"/>
      <c r="F10" s="21">
        <f>Hoja8!B4</f>
        <v>1</v>
      </c>
      <c r="G10" s="29">
        <f>IFERROR(VLOOKUP(B10,Precios!D:E,2,0), "")</f>
        <v>51700</v>
      </c>
      <c r="H10" s="30"/>
      <c r="I10" s="26">
        <f t="shared" si="1"/>
        <v>51700</v>
      </c>
      <c r="K10" s="26" t="str">
        <f t="shared" si="2"/>
        <v>#VALUE!</v>
      </c>
      <c r="M10" s="31" t="str">
        <f t="shared" si="3"/>
        <v>#VALUE!</v>
      </c>
    </row>
    <row r="11" ht="26.25" customHeight="1">
      <c r="A11" s="21"/>
      <c r="B11" s="21" t="str">
        <f>Hoja8!A5</f>
        <v>Instalación a altura h&lt;4mts con perfil C P/ BPC 100 a 300</v>
      </c>
      <c r="C11" s="21"/>
      <c r="D11" s="21" t="s">
        <v>25</v>
      </c>
      <c r="E11" s="21"/>
      <c r="F11" s="21">
        <f>Hoja8!B5</f>
        <v>1</v>
      </c>
      <c r="G11" s="29">
        <f>IFERROR(VLOOKUP(B11,Precios!D:E,2,0), "")</f>
        <v>51700</v>
      </c>
      <c r="H11" s="30"/>
      <c r="I11" s="26">
        <f t="shared" si="1"/>
        <v>51700</v>
      </c>
      <c r="K11" s="26" t="str">
        <f t="shared" si="2"/>
        <v>#VALUE!</v>
      </c>
      <c r="M11" s="31" t="str">
        <f t="shared" si="3"/>
        <v>#VALUE!</v>
      </c>
    </row>
    <row r="12" ht="26.25" customHeight="1">
      <c r="A12" s="21"/>
      <c r="B12" s="21" t="str">
        <f>Hoja8!A6</f>
        <v>Instalación a altura h&lt;4mts con perfil C P/ BPC 100 a 300</v>
      </c>
      <c r="C12" s="21"/>
      <c r="D12" s="21"/>
      <c r="E12" s="21"/>
      <c r="F12" s="21">
        <f>Hoja8!B6</f>
        <v>1</v>
      </c>
      <c r="G12" s="29">
        <f>IFERROR(VLOOKUP(B12,Precios!D:E,2,0), "")</f>
        <v>51700</v>
      </c>
      <c r="H12" s="30"/>
      <c r="I12" s="26">
        <f t="shared" si="1"/>
        <v>51700</v>
      </c>
      <c r="K12" s="26" t="str">
        <f t="shared" si="2"/>
        <v>#VALUE!</v>
      </c>
      <c r="M12" s="31" t="str">
        <f t="shared" si="3"/>
        <v>#VALUE!</v>
      </c>
    </row>
    <row r="13" ht="26.25" customHeight="1">
      <c r="A13" s="21"/>
      <c r="B13" s="21" t="str">
        <f>Hoja8!A7</f>
        <v>Instalación a altura h&lt;4mts con perfil C P/ BPC 100 a 300</v>
      </c>
      <c r="C13" s="21"/>
      <c r="D13" s="21"/>
      <c r="E13" s="21"/>
      <c r="F13" s="21">
        <f>Hoja8!B7</f>
        <v>1</v>
      </c>
      <c r="G13" s="29">
        <f>IFERROR(VLOOKUP(B13,Precios!D:E,2,0), "")</f>
        <v>51700</v>
      </c>
      <c r="H13" s="30"/>
      <c r="I13" s="26">
        <f t="shared" si="1"/>
        <v>51700</v>
      </c>
      <c r="K13" s="26" t="str">
        <f t="shared" si="2"/>
        <v>#VALUE!</v>
      </c>
      <c r="M13" s="31" t="str">
        <f t="shared" si="3"/>
        <v>#VALUE!</v>
      </c>
    </row>
    <row r="14" ht="26.25" customHeight="1">
      <c r="A14" s="21"/>
      <c r="B14" s="21" t="str">
        <f>Hoja8!A8</f>
        <v>Instalación a altura h&lt;4mts con perfil C P/ BPC 100 a 300</v>
      </c>
      <c r="C14" s="21"/>
      <c r="D14" s="21"/>
      <c r="E14" s="21"/>
      <c r="F14" s="21">
        <f>Hoja8!B8</f>
        <v>1</v>
      </c>
      <c r="G14" s="29">
        <f>IFERROR(VLOOKUP(B14,Precios!D:E,2,0), "")</f>
        <v>51700</v>
      </c>
      <c r="H14" s="30"/>
      <c r="I14" s="26">
        <f t="shared" si="1"/>
        <v>51700</v>
      </c>
      <c r="K14" s="26" t="str">
        <f t="shared" si="2"/>
        <v>#VALUE!</v>
      </c>
      <c r="M14" s="31" t="str">
        <f t="shared" si="3"/>
        <v>#VALUE!</v>
      </c>
    </row>
    <row r="15" ht="26.25" customHeight="1">
      <c r="A15" s="21"/>
      <c r="B15" s="21" t="str">
        <f>Hoja8!A9</f>
        <v>Certificacion de vivienda o local comercial (hasta 20bocas) no incluye adecuacion de la instalacion</v>
      </c>
      <c r="C15" s="21"/>
      <c r="D15" s="33"/>
      <c r="E15" s="28"/>
      <c r="F15" s="21">
        <f>Hoja8!B9</f>
        <v>-2</v>
      </c>
      <c r="G15" s="29" t="str">
        <f>IFERROR(VLOOKUP(B15,Precios!D:E,2,0), "")</f>
        <v/>
      </c>
      <c r="H15" s="30"/>
      <c r="I15" s="26" t="str">
        <f t="shared" si="1"/>
        <v/>
      </c>
      <c r="K15" s="26" t="str">
        <f t="shared" si="2"/>
        <v>#VALUE!</v>
      </c>
      <c r="M15" s="31" t="str">
        <f t="shared" si="3"/>
        <v>#VALUE!</v>
      </c>
    </row>
    <row r="16" ht="26.25" customHeight="1">
      <c r="A16" s="21"/>
      <c r="B16" s="21" t="str">
        <f>Hoja8!A10</f>
        <v>Certificacion de vivienda o local comercial (hasta 20bocas) no incluye adecuacion de la instalacion</v>
      </c>
      <c r="C16" s="21"/>
      <c r="D16" s="33"/>
      <c r="E16" s="21"/>
      <c r="F16" s="21">
        <f>Hoja8!B10</f>
        <v>-2</v>
      </c>
      <c r="G16" s="29" t="str">
        <f>IFERROR(VLOOKUP(B16,Precios!D:E,2,0), "")</f>
        <v/>
      </c>
      <c r="H16" s="30"/>
      <c r="I16" s="26" t="str">
        <f t="shared" si="1"/>
        <v/>
      </c>
      <c r="K16" s="26" t="str">
        <f t="shared" si="2"/>
        <v>#VALUE!</v>
      </c>
      <c r="M16" s="31" t="str">
        <f t="shared" si="3"/>
        <v>#VALUE!</v>
      </c>
    </row>
    <row r="17" ht="26.25" customHeight="1">
      <c r="A17" s="21"/>
      <c r="B17" s="21" t="str">
        <f>Hoja8!A11</f>
        <v>Certificacion de vivienda o local comercial (hasta 20bocas) no incluye adecuacion de la instalacion</v>
      </c>
      <c r="C17" s="21"/>
      <c r="D17" s="21"/>
      <c r="E17" s="28"/>
      <c r="F17" s="21">
        <f>Hoja8!B11</f>
        <v>-2</v>
      </c>
      <c r="G17" s="29" t="str">
        <f>IFERROR(VLOOKUP(B17,Precios!D:E,2,0), "")</f>
        <v/>
      </c>
      <c r="H17" s="30"/>
      <c r="I17" s="26" t="str">
        <f t="shared" si="1"/>
        <v/>
      </c>
      <c r="K17" s="26" t="str">
        <f t="shared" si="2"/>
        <v>#VALUE!</v>
      </c>
      <c r="M17" s="31" t="str">
        <f t="shared" si="3"/>
        <v>#VALUE!</v>
      </c>
    </row>
    <row r="18" ht="26.25" customHeight="1">
      <c r="A18" s="21"/>
      <c r="B18" s="21" t="str">
        <f>Hoja8!A12</f>
        <v>Certificacion de vivienda o local comercial (hasta 20bocas) no incluye adecuacion de la instalacion</v>
      </c>
      <c r="C18" s="28"/>
      <c r="D18" s="21"/>
      <c r="E18" s="28"/>
      <c r="F18" s="21">
        <f>Hoja8!B12</f>
        <v>-2</v>
      </c>
      <c r="G18" s="29" t="str">
        <f>IFERROR(VLOOKUP(B18,Precios!D:E,2,0), "")</f>
        <v/>
      </c>
      <c r="H18" s="30"/>
      <c r="I18" s="26" t="str">
        <f t="shared" si="1"/>
        <v/>
      </c>
      <c r="K18" s="26" t="str">
        <f t="shared" si="2"/>
        <v>#VALUE!</v>
      </c>
      <c r="M18" s="31" t="str">
        <f t="shared" si="3"/>
        <v>#VALUE!</v>
      </c>
    </row>
    <row r="19" ht="26.25" customHeight="1">
      <c r="A19" s="21"/>
      <c r="B19" s="21" t="str">
        <f>Hoja8!A13</f>
        <v>Certificacion de vivienda o local comercial (hasta 20bocas) no incluye adecuacion de la instalacion</v>
      </c>
      <c r="C19" s="28"/>
      <c r="D19" s="33"/>
      <c r="E19" s="28"/>
      <c r="F19" s="21">
        <f>Hoja8!B13</f>
        <v>-2</v>
      </c>
      <c r="G19" s="29" t="str">
        <f>IFERROR(VLOOKUP(B19,Precios!D:E,2,0), "")</f>
        <v/>
      </c>
      <c r="H19" s="30"/>
      <c r="I19" s="26" t="str">
        <f t="shared" si="1"/>
        <v/>
      </c>
      <c r="K19" s="26" t="str">
        <f t="shared" si="2"/>
        <v>#VALUE!</v>
      </c>
      <c r="M19" s="31" t="str">
        <f t="shared" si="3"/>
        <v>#VALUE!</v>
      </c>
    </row>
    <row r="20" ht="26.25" customHeight="1">
      <c r="A20" s="21"/>
      <c r="B20" s="21" t="str">
        <f>Hoja8!A14</f>
        <v>Certificacion de vivienda o local comercial (hasta 20bocas) no incluye adecuacion de la instalacion</v>
      </c>
      <c r="C20" s="28"/>
      <c r="D20" s="33"/>
      <c r="E20" s="28"/>
      <c r="F20" s="21">
        <f>Hoja8!B14</f>
        <v>-2</v>
      </c>
      <c r="G20" s="29" t="str">
        <f>IFERROR(VLOOKUP(B20,Precios!D:E,2,0), "")</f>
        <v/>
      </c>
      <c r="H20" s="30"/>
      <c r="I20" s="26" t="str">
        <f t="shared" si="1"/>
        <v/>
      </c>
      <c r="K20" s="26" t="str">
        <f t="shared" si="2"/>
        <v>#VALUE!</v>
      </c>
      <c r="M20" s="31" t="str">
        <f t="shared" si="3"/>
        <v>#VALUE!</v>
      </c>
    </row>
    <row r="21" ht="26.25" customHeight="1">
      <c r="A21" s="28"/>
      <c r="B21" s="21" t="str">
        <f>Hoja8!A15</f>
        <v>Certificacion de vivienda o local comercial (hasta 20bocas) no incluye adecuacion de la instalacion</v>
      </c>
      <c r="C21" s="28"/>
      <c r="D21" s="33"/>
      <c r="E21" s="28"/>
      <c r="F21" s="21">
        <f>Hoja8!B15</f>
        <v>-2</v>
      </c>
      <c r="G21" s="29" t="str">
        <f>IFERROR(VLOOKUP(B21,Precios!D:E,2,0), "")</f>
        <v/>
      </c>
      <c r="H21" s="30"/>
      <c r="I21" s="26" t="str">
        <f t="shared" si="1"/>
        <v/>
      </c>
      <c r="K21" s="26" t="str">
        <f t="shared" si="2"/>
        <v>#VALUE!</v>
      </c>
      <c r="M21" s="31" t="str">
        <f t="shared" si="3"/>
        <v>#VALUE!</v>
      </c>
    </row>
    <row r="22" ht="26.25" customHeight="1">
      <c r="A22" s="28"/>
      <c r="B22" s="21" t="str">
        <f>Hoja8!A16</f>
        <v>Certificacion de vivienda o local comercial (hasta 20bocas) no incluye adecuacion de la instalacion</v>
      </c>
      <c r="C22" s="28"/>
      <c r="D22" s="33"/>
      <c r="E22" s="28"/>
      <c r="F22" s="21">
        <f>Hoja8!B16</f>
        <v>-2</v>
      </c>
      <c r="G22" s="29" t="str">
        <f>IFERROR(VLOOKUP(B22,Precios!D:E,2,0), "")</f>
        <v/>
      </c>
      <c r="H22" s="30"/>
      <c r="I22" s="26" t="str">
        <f t="shared" si="1"/>
        <v/>
      </c>
      <c r="K22" s="26" t="str">
        <f t="shared" si="2"/>
        <v>#VALUE!</v>
      </c>
      <c r="M22" s="31" t="str">
        <f t="shared" si="3"/>
        <v>#VALUE!</v>
      </c>
    </row>
    <row r="23" ht="26.25" customHeight="1">
      <c r="A23" s="28"/>
      <c r="B23" s="21" t="str">
        <f>Hoja8!A17</f>
        <v>Certificacion de vivienda o local comercial (hasta 20bocas) no incluye adecuacion de la instalacion</v>
      </c>
      <c r="C23" s="28"/>
      <c r="D23" s="33"/>
      <c r="E23" s="28"/>
      <c r="F23" s="21">
        <f>Hoja8!B17</f>
        <v>-2</v>
      </c>
      <c r="G23" s="29" t="str">
        <f>IFERROR(VLOOKUP(B23,Precios!D:E,2,0), "")</f>
        <v/>
      </c>
      <c r="H23" s="30"/>
      <c r="I23" s="26" t="str">
        <f t="shared" si="1"/>
        <v/>
      </c>
      <c r="K23" s="26" t="str">
        <f t="shared" si="2"/>
        <v>#VALUE!</v>
      </c>
      <c r="M23" s="31" t="str">
        <f t="shared" si="3"/>
        <v>#VALUE!</v>
      </c>
    </row>
    <row r="24" ht="26.25" customHeight="1">
      <c r="A24" s="28"/>
      <c r="B24" s="21" t="str">
        <f>Hoja8!A18</f>
        <v>Certificacion de vivienda o local comercial (hasta 20bocas) no incluye adecuacion de la instalacion</v>
      </c>
      <c r="C24" s="28"/>
      <c r="D24" s="33"/>
      <c r="E24" s="28"/>
      <c r="F24" s="21">
        <f>Hoja8!B18</f>
        <v>-2</v>
      </c>
      <c r="G24" s="29" t="str">
        <f>IFERROR(VLOOKUP(B24,Precios!D:E,2,0), "")</f>
        <v/>
      </c>
      <c r="H24" s="30"/>
      <c r="I24" s="26" t="str">
        <f t="shared" si="1"/>
        <v/>
      </c>
      <c r="K24" s="26" t="str">
        <f t="shared" si="2"/>
        <v>#VALUE!</v>
      </c>
      <c r="M24" s="31" t="str">
        <f t="shared" si="3"/>
        <v>#VALUE!</v>
      </c>
    </row>
    <row r="25" ht="26.25" customHeight="1">
      <c r="A25" s="28"/>
      <c r="B25" s="21" t="str">
        <f>Hoja8!A19</f>
        <v>Certificacion de vivienda o local comercial (hasta 20bocas) no incluye adecuacion de la instalacion</v>
      </c>
      <c r="C25" s="28"/>
      <c r="D25" s="33"/>
      <c r="E25" s="28"/>
      <c r="F25" s="21">
        <f>Hoja8!B19</f>
        <v>-2</v>
      </c>
      <c r="G25" s="29" t="str">
        <f>IFERROR(VLOOKUP(B25,Precios!D:E,2,0), "")</f>
        <v/>
      </c>
      <c r="H25" s="30"/>
      <c r="I25" s="26" t="str">
        <f t="shared" si="1"/>
        <v/>
      </c>
      <c r="K25" s="26" t="str">
        <f t="shared" si="2"/>
        <v>#VALUE!</v>
      </c>
      <c r="M25" s="31" t="str">
        <f t="shared" si="3"/>
        <v>#VALUE!</v>
      </c>
    </row>
    <row r="26" ht="26.25" customHeight="1">
      <c r="A26" s="28"/>
      <c r="B26" s="21" t="str">
        <f>Hoja8!A20</f>
        <v>Certificacion de vivienda o local comercial (hasta 20bocas) no incluye adecuacion de la instalacion</v>
      </c>
      <c r="C26" s="28"/>
      <c r="D26" s="33"/>
      <c r="E26" s="28"/>
      <c r="F26" s="21">
        <f>Hoja8!B20</f>
        <v>-2</v>
      </c>
      <c r="G26" s="29" t="str">
        <f>IFERROR(VLOOKUP(B26,Precios!D:E,2,0), "")</f>
        <v/>
      </c>
      <c r="H26" s="30"/>
      <c r="I26" s="26" t="str">
        <f t="shared" si="1"/>
        <v/>
      </c>
      <c r="K26" s="26" t="str">
        <f t="shared" si="2"/>
        <v>#VALUE!</v>
      </c>
      <c r="M26" s="31" t="str">
        <f t="shared" si="3"/>
        <v>#VALUE!</v>
      </c>
    </row>
    <row r="27" ht="26.25" customHeight="1">
      <c r="A27" s="28"/>
      <c r="B27" s="21" t="str">
        <f>Hoja8!A21</f>
        <v>Certificacion de vivienda o local comercial (hasta 20bocas) no incluye adecuacion de la instalacion</v>
      </c>
      <c r="C27" s="28"/>
      <c r="D27" s="33"/>
      <c r="E27" s="28"/>
      <c r="F27" s="21">
        <f>Hoja8!B21</f>
        <v>-2</v>
      </c>
      <c r="G27" s="21" t="str">
        <f>Hoja8!C21</f>
        <v/>
      </c>
      <c r="H27" s="30"/>
      <c r="I27" s="26" t="str">
        <f t="shared" si="1"/>
        <v/>
      </c>
      <c r="K27" s="26" t="str">
        <f t="shared" si="2"/>
        <v>#VALUE!</v>
      </c>
      <c r="M27" s="31" t="str">
        <f t="shared" si="3"/>
        <v>#VALUE!</v>
      </c>
    </row>
    <row r="28" ht="26.25" customHeight="1">
      <c r="A28" s="21"/>
      <c r="B28" s="21" t="str">
        <f>Hoja8!A22</f>
        <v>Certificacion de vivienda o local comercial (hasta 20bocas) no incluye adecuacion de la instalacion</v>
      </c>
      <c r="C28" s="21"/>
      <c r="D28" s="21"/>
      <c r="E28" s="28"/>
      <c r="F28" s="21">
        <f>Hoja8!B22</f>
        <v>-2</v>
      </c>
      <c r="G28" s="21" t="str">
        <f>Hoja8!C22</f>
        <v/>
      </c>
      <c r="H28" s="30"/>
      <c r="I28" s="26" t="str">
        <f t="shared" si="1"/>
        <v/>
      </c>
      <c r="K28" s="26" t="str">
        <f t="shared" si="2"/>
        <v>#VALUE!</v>
      </c>
      <c r="M28" s="31" t="str">
        <f t="shared" si="3"/>
        <v>#VALUE!</v>
      </c>
    </row>
    <row r="29" ht="26.25" customHeight="1">
      <c r="A29" s="21" t="s">
        <v>77</v>
      </c>
      <c r="B29" s="21" t="str">
        <f>Hoja8!A23</f>
        <v>Certificacion de vivienda o local comercial (hasta 20bocas) no incluye adecuacion de la instalacion</v>
      </c>
      <c r="C29" s="21"/>
      <c r="D29" s="33"/>
      <c r="E29" s="28"/>
      <c r="F29" s="21">
        <f>Hoja8!B23</f>
        <v>-2</v>
      </c>
      <c r="G29" s="21" t="str">
        <f>Hoja8!C23</f>
        <v/>
      </c>
      <c r="H29" s="30"/>
      <c r="I29" s="26" t="str">
        <f t="shared" si="1"/>
        <v/>
      </c>
      <c r="K29" s="26" t="str">
        <f t="shared" si="2"/>
        <v>#VALUE!</v>
      </c>
      <c r="M29" s="31" t="str">
        <f t="shared" si="3"/>
        <v>#VALUE!</v>
      </c>
    </row>
    <row r="30" ht="26.25" customHeight="1">
      <c r="A30" s="21" t="s">
        <v>77</v>
      </c>
      <c r="B30" s="21" t="str">
        <f>Hoja8!A24</f>
        <v>Certificacion de vivienda o local comercial (hasta 20bocas) no incluye adecuacion de la instalacion</v>
      </c>
      <c r="C30" s="21"/>
      <c r="D30" s="21"/>
      <c r="E30" s="21"/>
      <c r="F30" s="21">
        <f>Hoja8!B24</f>
        <v>-2</v>
      </c>
      <c r="G30" s="21" t="str">
        <f>Hoja8!C24</f>
        <v/>
      </c>
      <c r="H30" s="77"/>
      <c r="I30" s="78" t="str">
        <f t="shared" si="1"/>
        <v/>
      </c>
      <c r="K30" s="26" t="str">
        <f t="shared" si="2"/>
        <v>#VALUE!</v>
      </c>
      <c r="M30" s="79" t="str">
        <f t="shared" si="3"/>
        <v>#VALUE!</v>
      </c>
    </row>
    <row r="31" ht="18.75" customHeight="1">
      <c r="G31" s="2" t="str">
        <f>IFERROR(VLOOKUP(B31,Precios!D:E,2,0), "")</f>
        <v/>
      </c>
      <c r="I31" s="2" t="str">
        <f t="shared" si="1"/>
        <v/>
      </c>
      <c r="M31" s="2" t="str">
        <f t="shared" si="3"/>
        <v/>
      </c>
    </row>
    <row r="32" ht="18.75" customHeight="1">
      <c r="G32" s="2" t="str">
        <f>IFERROR(VLOOKUP(B32,Precios!D:E,2,0), "")</f>
        <v/>
      </c>
      <c r="I32" s="2" t="str">
        <f t="shared" si="1"/>
        <v/>
      </c>
      <c r="M32" s="2" t="str">
        <f t="shared" si="3"/>
        <v/>
      </c>
    </row>
    <row r="33" ht="18.75" customHeight="1">
      <c r="G33" s="2" t="str">
        <f>IFERROR(VLOOKUP(B33,Precios!D:E,2,0), "")</f>
        <v/>
      </c>
      <c r="I33" s="2" t="str">
        <f t="shared" si="1"/>
        <v/>
      </c>
      <c r="M33" s="2" t="str">
        <f t="shared" si="3"/>
        <v/>
      </c>
    </row>
    <row r="34" ht="18.75" customHeight="1">
      <c r="K34" s="81" t="s">
        <v>97</v>
      </c>
      <c r="M34" s="82">
        <f>SUMIF(M8:M30,"&gt;0")</f>
        <v>0</v>
      </c>
    </row>
    <row r="35" ht="18.75" customHeight="1">
      <c r="K35" s="81" t="s">
        <v>101</v>
      </c>
      <c r="M35" s="82">
        <f>SUMIF(M8:M30,"&lt;0")</f>
        <v>0</v>
      </c>
    </row>
    <row r="36" ht="18.75" customHeight="1">
      <c r="A36" s="1"/>
      <c r="K36" s="82"/>
      <c r="L36" s="82"/>
      <c r="M36" s="82"/>
    </row>
    <row r="37" ht="18.75" customHeight="1">
      <c r="K37" s="81" t="s">
        <v>103</v>
      </c>
      <c r="M37" s="82">
        <f>SUM(M34,M35)</f>
        <v>0</v>
      </c>
    </row>
    <row r="38" ht="18.75" customHeight="1"/>
    <row r="39" ht="18.75" customHeight="1">
      <c r="H39" s="1"/>
      <c r="I39" s="1" t="s">
        <v>106</v>
      </c>
    </row>
    <row r="40" ht="18.75" customHeight="1"/>
    <row r="41" ht="18.75" customHeight="1">
      <c r="A41" s="2">
        <f>IFERROR(__xludf.DUMMYFUNCTION("IMPORTRANGE(""https://docs.google.com/spreadsheets/d/1aPynYCYBaEafPC4rqTulMOzPg_guy_NLzZHOzvFJwyw/edit?usp=drivesdk"", ""Respuestas de formulario 1!C5"")"),3.513559347E9)</f>
        <v>3513559347</v>
      </c>
    </row>
  </sheetData>
  <mergeCells count="11">
    <mergeCell ref="K6:K7"/>
    <mergeCell ref="K34:L34"/>
    <mergeCell ref="K35:L35"/>
    <mergeCell ref="K37:L37"/>
    <mergeCell ref="A6:A7"/>
    <mergeCell ref="B6:B7"/>
    <mergeCell ref="C6:E6"/>
    <mergeCell ref="F6:F7"/>
    <mergeCell ref="G6:G7"/>
    <mergeCell ref="I6:I7"/>
    <mergeCell ref="M6:M7"/>
  </mergeCells>
  <conditionalFormatting sqref="A19">
    <cfRule type="colorScale" priority="1">
      <colorScale>
        <cfvo type="min"/>
        <cfvo type="max"/>
        <color rgb="FF57BB8A"/>
        <color rgb="FFFFFFFF"/>
      </colorScale>
    </cfRule>
  </conditionalFormatting>
  <dataValidations>
    <dataValidation type="list" allowBlank="1" sqref="A29">
      <formula1>Precios!$C25:$C41</formula1>
    </dataValidation>
    <dataValidation type="list" allowBlank="1" sqref="D8:D30">
      <formula1>"%,-"</formula1>
    </dataValidation>
    <dataValidation type="list" allowBlank="1" sqref="A28">
      <formula1>Precios!$C23:$C41</formula1>
    </dataValidation>
    <dataValidation type="list" allowBlank="1" sqref="A30">
      <formula1>Precios!$C26:$C41</formula1>
    </dataValidation>
    <dataValidation type="list" allowBlank="1" sqref="A8:A27">
      <formula1>Precios!$C2:$C41</formula1>
    </dataValidation>
    <dataValidation type="list" allowBlank="1" sqref="B3">
      <formula1>Clientes!B2:B200</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2" t="str">
        <f>IFERROR(__xludf.DUMMYFUNCTION("FILTER(Precios!$D:$D,Carga!A8=Precios!$C:$C)"),"#N/A")</f>
        <v>#N/A</v>
      </c>
      <c r="B1" s="2" t="str">
        <f>IFERROR(__xludf.DUMMYFUNCTION("FILTER(Precios!$D:$D,Carga!A9=Precios!$C:$C)"),"#N/A")</f>
        <v>#N/A</v>
      </c>
      <c r="C1" s="2" t="str">
        <f>IFERROR(__xludf.DUMMYFUNCTION("FILTER(Precios!$D:$D,Carga!A10=Precios!$C:$C)"),"#N/A")</f>
        <v>#N/A</v>
      </c>
      <c r="D1" s="2" t="str">
        <f>IFERROR(__xludf.DUMMYFUNCTION("FILTER(Precios!$D:$D,Carga!A11=Precios!$C:$C)"),"#N/A")</f>
        <v>#N/A</v>
      </c>
      <c r="E1" s="2" t="str">
        <f>IFERROR(__xludf.DUMMYFUNCTION("FILTER(Precios!$D:$D,Carga!A12=Precios!$C:$C)"),"DOCUMENTACIÓN, CERTIFICACIÓN Y SERVICIO DE MEDICIÓN")</f>
        <v>DOCUMENTACIÓN, CERTIFICACIÓN Y SERVICIO DE MEDICIÓN</v>
      </c>
      <c r="F1" s="2" t="str">
        <f>IFERROR(__xludf.DUMMYFUNCTION("FILTER(Precios!$D:$D,Carga!A13=Precios!$C:$C)"),"DOCUMENTACIÓN, CERTIFICACIÓN Y SERVICIO DE MEDICIÓN")</f>
        <v>DOCUMENTACIÓN, CERTIFICACIÓN Y SERVICIO DE MEDICIÓN</v>
      </c>
      <c r="G1" s="2" t="str">
        <f>IFERROR(__xludf.DUMMYFUNCTION("FILTER(Precios!$D:$D,Carga!A14=Precios!$C:$C)"),"DOCUMENTACIÓN, CERTIFICACIÓN Y SERVICIO DE MEDICIÓN")</f>
        <v>DOCUMENTACIÓN, CERTIFICACIÓN Y SERVICIO DE MEDICIÓN</v>
      </c>
      <c r="H1" s="2" t="str">
        <f>IFERROR(__xludf.DUMMYFUNCTION("FILTER(Precios!$D:$D,Carga!A15=Precios!$C:$C)"),"DOCUMENTACIÓN, CERTIFICACIÓN Y SERVICIO DE MEDICIÓN")</f>
        <v>DOCUMENTACIÓN, CERTIFICACIÓN Y SERVICIO DE MEDICIÓN</v>
      </c>
      <c r="I1" s="2" t="str">
        <f>IFERROR(__xludf.DUMMYFUNCTION("FILTER(Precios!$D:$D,Carga!A16=Precios!$C:$C)"),"DOCUMENTACIÓN, CERTIFICACIÓN Y SERVICIO DE MEDICIÓN")</f>
        <v>DOCUMENTACIÓN, CERTIFICACIÓN Y SERVICIO DE MEDICIÓN</v>
      </c>
      <c r="J1" s="2" t="str">
        <f>IFERROR(__xludf.DUMMYFUNCTION("FILTER(Precios!$D:$D,Carga!A17=Precios!$C:$C)"),"DOCUMENTACIÓN, CERTIFICACIÓN Y SERVICIO DE MEDICIÓN")</f>
        <v>DOCUMENTACIÓN, CERTIFICACIÓN Y SERVICIO DE MEDICIÓN</v>
      </c>
      <c r="K1" s="2" t="str">
        <f>IFERROR(__xludf.DUMMYFUNCTION("FILTER(Precios!$D:$D,Carga!A18=Precios!$C:$C)"),"DOCUMENTACIÓN, CERTIFICACIÓN Y SERVICIO DE MEDICIÓN")</f>
        <v>DOCUMENTACIÓN, CERTIFICACIÓN Y SERVICIO DE MEDICIÓN</v>
      </c>
      <c r="L1" s="2" t="str">
        <f>IFERROR(__xludf.DUMMYFUNCTION("FILTER(Precios!$D:$D,Carga!A19=Precios!$C:$C)"),"DOCUMENTACIÓN, CERTIFICACIÓN Y SERVICIO DE MEDICIÓN")</f>
        <v>DOCUMENTACIÓN, CERTIFICACIÓN Y SERVICIO DE MEDICIÓN</v>
      </c>
      <c r="M1" s="2" t="str">
        <f>IFERROR(__xludf.DUMMYFUNCTION("FILTER(Precios!$D:$D,Carga!A20=Precios!$C:$C)"),"DOCUMENTACIÓN, CERTIFICACIÓN Y SERVICIO DE MEDICIÓN")</f>
        <v>DOCUMENTACIÓN, CERTIFICACIÓN Y SERVICIO DE MEDICIÓN</v>
      </c>
      <c r="N1" s="2" t="str">
        <f>IFERROR(__xludf.DUMMYFUNCTION("FILTER(Precios!$D:$D,Carga!A21=Precios!$C:$C)"),"DOCUMENTACIÓN, CERTIFICACIÓN Y SERVICIO DE MEDICIÓN")</f>
        <v>DOCUMENTACIÓN, CERTIFICACIÓN Y SERVICIO DE MEDICIÓN</v>
      </c>
      <c r="O1" s="2" t="str">
        <f>IFERROR(__xludf.DUMMYFUNCTION("FILTER(Precios!$D:$D,Carga!A22=Precios!$C:$C)"),"DOCUMENTACIÓN, CERTIFICACIÓN Y SERVICIO DE MEDICIÓN")</f>
        <v>DOCUMENTACIÓN, CERTIFICACIÓN Y SERVICIO DE MEDICIÓN</v>
      </c>
      <c r="P1" s="2" t="str">
        <f>IFERROR(__xludf.DUMMYFUNCTION("FILTER(Precios!$D:$D,Carga!A23=Precios!$C:$C)"),"DOCUMENTACIÓN, CERTIFICACIÓN Y SERVICIO DE MEDICIÓN")</f>
        <v>DOCUMENTACIÓN, CERTIFICACIÓN Y SERVICIO DE MEDICIÓN</v>
      </c>
      <c r="Q1" s="2" t="str">
        <f>IFERROR(__xludf.DUMMYFUNCTION("FILTER(Precios!$D:$D,Carga!A24=Precios!$C:$C)"),"DOCUMENTACIÓN, CERTIFICACIÓN Y SERVICIO DE MEDICIÓN")</f>
        <v>DOCUMENTACIÓN, CERTIFICACIÓN Y SERVICIO DE MEDICIÓN</v>
      </c>
      <c r="R1" s="2" t="str">
        <f>IFERROR(__xludf.DUMMYFUNCTION("FILTER(Precios!$D:$D,Carga!A25=Precios!$C:$C)"),"DOCUMENTACIÓN, CERTIFICACIÓN Y SERVICIO DE MEDICIÓN")</f>
        <v>DOCUMENTACIÓN, CERTIFICACIÓN Y SERVICIO DE MEDICIÓN</v>
      </c>
      <c r="S1" s="2" t="str">
        <f>IFERROR(__xludf.DUMMYFUNCTION("FILTER(Precios!$D:$D,Carga!A26=Precios!$C:$C)"),"DOCUMENTACIÓN, CERTIFICACIÓN Y SERVICIO DE MEDICIÓN")</f>
        <v>DOCUMENTACIÓN, CERTIFICACIÓN Y SERVICIO DE MEDICIÓN</v>
      </c>
      <c r="T1" s="2" t="str">
        <f>IFERROR(__xludf.DUMMYFUNCTION("FILTER(Precios!$D:$D,Carga!A27=Precios!$C:$C)"),"DOCUMENTACIÓN, CERTIFICACIÓN Y SERVICIO DE MEDICIÓN")</f>
        <v>DOCUMENTACIÓN, CERTIFICACIÓN Y SERVICIO DE MEDICIÓN</v>
      </c>
      <c r="U1" s="2" t="str">
        <f>IFERROR(__xludf.DUMMYFUNCTION("FILTER(Precios!$D:$D,Carga!A28=Precios!$C:$C)"),"DOCUMENTACIÓN, CERTIFICACIÓN Y SERVICIO DE MEDICIÓN")</f>
        <v>DOCUMENTACIÓN, CERTIFICACIÓN Y SERVICIO DE MEDICIÓN</v>
      </c>
      <c r="V1" s="2" t="str">
        <f>IFERROR(__xludf.DUMMYFUNCTION("FILTER(Precios!$D:$D,Carga!A29=Precios!$C:$C)"),"Acometida Monofásica aérea, con sistema doble aislación")</f>
        <v>Acometida Monofásica aérea, con sistema doble aislación</v>
      </c>
      <c r="W1" s="2" t="str">
        <f>IFERROR(__xludf.DUMMYFUNCTION("FILTER(Precios!$D:$D,Carga!A30=Precios!$C:$C)"),"Acometida Monofásica aérea, con sistema doble aislación")</f>
        <v>Acometida Monofásica aérea, con sistema doble aislación</v>
      </c>
    </row>
    <row r="2">
      <c r="E2" s="2" t="str">
        <f>IFERROR(__xludf.DUMMYFUNCTION("""COMPUTED_VALUE"""),"ACOMETIDAS Y TABLEROS")</f>
        <v>ACOMETIDAS Y TABLEROS</v>
      </c>
      <c r="F2" s="2" t="str">
        <f>IFERROR(__xludf.DUMMYFUNCTION("""COMPUTED_VALUE"""),"ACOMETIDAS Y TABLEROS")</f>
        <v>ACOMETIDAS Y TABLEROS</v>
      </c>
      <c r="G2" s="2" t="str">
        <f>IFERROR(__xludf.DUMMYFUNCTION("""COMPUTED_VALUE"""),"ACOMETIDAS Y TABLEROS")</f>
        <v>ACOMETIDAS Y TABLEROS</v>
      </c>
      <c r="H2" s="2" t="str">
        <f>IFERROR(__xludf.DUMMYFUNCTION("""COMPUTED_VALUE"""),"ACOMETIDAS Y TABLEROS")</f>
        <v>ACOMETIDAS Y TABLEROS</v>
      </c>
      <c r="I2" s="2" t="str">
        <f>IFERROR(__xludf.DUMMYFUNCTION("""COMPUTED_VALUE"""),"ACOMETIDAS Y TABLEROS")</f>
        <v>ACOMETIDAS Y TABLEROS</v>
      </c>
      <c r="J2" s="2" t="str">
        <f>IFERROR(__xludf.DUMMYFUNCTION("""COMPUTED_VALUE"""),"ACOMETIDAS Y TABLEROS")</f>
        <v>ACOMETIDAS Y TABLEROS</v>
      </c>
      <c r="K2" s="2" t="str">
        <f>IFERROR(__xludf.DUMMYFUNCTION("""COMPUTED_VALUE"""),"ACOMETIDAS Y TABLEROS")</f>
        <v>ACOMETIDAS Y TABLEROS</v>
      </c>
      <c r="L2" s="2" t="str">
        <f>IFERROR(__xludf.DUMMYFUNCTION("""COMPUTED_VALUE"""),"ACOMETIDAS Y TABLEROS")</f>
        <v>ACOMETIDAS Y TABLEROS</v>
      </c>
      <c r="M2" s="2" t="str">
        <f>IFERROR(__xludf.DUMMYFUNCTION("""COMPUTED_VALUE"""),"ACOMETIDAS Y TABLEROS")</f>
        <v>ACOMETIDAS Y TABLEROS</v>
      </c>
      <c r="N2" s="2" t="str">
        <f>IFERROR(__xludf.DUMMYFUNCTION("""COMPUTED_VALUE"""),"ACOMETIDAS Y TABLEROS")</f>
        <v>ACOMETIDAS Y TABLEROS</v>
      </c>
      <c r="O2" s="2" t="str">
        <f>IFERROR(__xludf.DUMMYFUNCTION("""COMPUTED_VALUE"""),"ACOMETIDAS Y TABLEROS")</f>
        <v>ACOMETIDAS Y TABLEROS</v>
      </c>
      <c r="P2" s="2" t="str">
        <f>IFERROR(__xludf.DUMMYFUNCTION("""COMPUTED_VALUE"""),"ACOMETIDAS Y TABLEROS")</f>
        <v>ACOMETIDAS Y TABLEROS</v>
      </c>
      <c r="Q2" s="2" t="str">
        <f>IFERROR(__xludf.DUMMYFUNCTION("""COMPUTED_VALUE"""),"ACOMETIDAS Y TABLEROS")</f>
        <v>ACOMETIDAS Y TABLEROS</v>
      </c>
      <c r="R2" s="2" t="str">
        <f>IFERROR(__xludf.DUMMYFUNCTION("""COMPUTED_VALUE"""),"ACOMETIDAS Y TABLEROS")</f>
        <v>ACOMETIDAS Y TABLEROS</v>
      </c>
      <c r="S2" s="2" t="str">
        <f>IFERROR(__xludf.DUMMYFUNCTION("""COMPUTED_VALUE"""),"ACOMETIDAS Y TABLEROS")</f>
        <v>ACOMETIDAS Y TABLEROS</v>
      </c>
      <c r="T2" s="2" t="str">
        <f>IFERROR(__xludf.DUMMYFUNCTION("""COMPUTED_VALUE"""),"ACOMETIDAS Y TABLEROS")</f>
        <v>ACOMETIDAS Y TABLEROS</v>
      </c>
      <c r="U2" s="2" t="str">
        <f>IFERROR(__xludf.DUMMYFUNCTION("""COMPUTED_VALUE"""),"ACOMETIDAS Y TABLEROS")</f>
        <v>ACOMETIDAS Y TABLEROS</v>
      </c>
      <c r="V2" s="2" t="str">
        <f>IFERROR(__xludf.DUMMYFUNCTION("""COMPUTED_VALUE"""),"Acometida Trifásica aérea, hasta 10kw con sistema doble aislación")</f>
        <v>Acometida Trifásica aérea, hasta 10kw con sistema doble aislación</v>
      </c>
      <c r="W2" s="2" t="str">
        <f>IFERROR(__xludf.DUMMYFUNCTION("""COMPUTED_VALUE"""),"Acometida Trifásica aérea, hasta 10kw con sistema doble aislación")</f>
        <v>Acometida Trifásica aérea, hasta 10kw con sistema doble aislación</v>
      </c>
    </row>
    <row r="3">
      <c r="E3" s="2" t="str">
        <f>IFERROR(__xludf.DUMMYFUNCTION("""COMPUTED_VALUE"""),"CANALIZACIÓN EMBUTIDA")</f>
        <v>CANALIZACIÓN EMBUTIDA</v>
      </c>
      <c r="F3" s="2" t="str">
        <f>IFERROR(__xludf.DUMMYFUNCTION("""COMPUTED_VALUE"""),"CANALIZACIÓN EMBUTIDA")</f>
        <v>CANALIZACIÓN EMBUTIDA</v>
      </c>
      <c r="G3" s="2" t="str">
        <f>IFERROR(__xludf.DUMMYFUNCTION("""COMPUTED_VALUE"""),"CANALIZACIÓN EMBUTIDA")</f>
        <v>CANALIZACIÓN EMBUTIDA</v>
      </c>
      <c r="H3" s="2" t="str">
        <f>IFERROR(__xludf.DUMMYFUNCTION("""COMPUTED_VALUE"""),"CANALIZACIÓN EMBUTIDA")</f>
        <v>CANALIZACIÓN EMBUTIDA</v>
      </c>
      <c r="I3" s="2" t="str">
        <f>IFERROR(__xludf.DUMMYFUNCTION("""COMPUTED_VALUE"""),"CANALIZACIÓN EMBUTIDA")</f>
        <v>CANALIZACIÓN EMBUTIDA</v>
      </c>
      <c r="J3" s="2" t="str">
        <f>IFERROR(__xludf.DUMMYFUNCTION("""COMPUTED_VALUE"""),"CANALIZACIÓN EMBUTIDA")</f>
        <v>CANALIZACIÓN EMBUTIDA</v>
      </c>
      <c r="K3" s="2" t="str">
        <f>IFERROR(__xludf.DUMMYFUNCTION("""COMPUTED_VALUE"""),"CANALIZACIÓN EMBUTIDA")</f>
        <v>CANALIZACIÓN EMBUTIDA</v>
      </c>
      <c r="L3" s="2" t="str">
        <f>IFERROR(__xludf.DUMMYFUNCTION("""COMPUTED_VALUE"""),"CANALIZACIÓN EMBUTIDA")</f>
        <v>CANALIZACIÓN EMBUTIDA</v>
      </c>
      <c r="M3" s="2" t="str">
        <f>IFERROR(__xludf.DUMMYFUNCTION("""COMPUTED_VALUE"""),"CANALIZACIÓN EMBUTIDA")</f>
        <v>CANALIZACIÓN EMBUTIDA</v>
      </c>
      <c r="N3" s="2" t="str">
        <f>IFERROR(__xludf.DUMMYFUNCTION("""COMPUTED_VALUE"""),"CANALIZACIÓN EMBUTIDA")</f>
        <v>CANALIZACIÓN EMBUTIDA</v>
      </c>
      <c r="O3" s="2" t="str">
        <f>IFERROR(__xludf.DUMMYFUNCTION("""COMPUTED_VALUE"""),"CANALIZACIÓN EMBUTIDA")</f>
        <v>CANALIZACIÓN EMBUTIDA</v>
      </c>
      <c r="P3" s="2" t="str">
        <f>IFERROR(__xludf.DUMMYFUNCTION("""COMPUTED_VALUE"""),"CANALIZACIÓN EMBUTIDA")</f>
        <v>CANALIZACIÓN EMBUTIDA</v>
      </c>
      <c r="Q3" s="2" t="str">
        <f>IFERROR(__xludf.DUMMYFUNCTION("""COMPUTED_VALUE"""),"CANALIZACIÓN EMBUTIDA")</f>
        <v>CANALIZACIÓN EMBUTIDA</v>
      </c>
      <c r="R3" s="2" t="str">
        <f>IFERROR(__xludf.DUMMYFUNCTION("""COMPUTED_VALUE"""),"CANALIZACIÓN EMBUTIDA")</f>
        <v>CANALIZACIÓN EMBUTIDA</v>
      </c>
      <c r="S3" s="2" t="str">
        <f>IFERROR(__xludf.DUMMYFUNCTION("""COMPUTED_VALUE"""),"CANALIZACIÓN EMBUTIDA")</f>
        <v>CANALIZACIÓN EMBUTIDA</v>
      </c>
      <c r="T3" s="2" t="str">
        <f>IFERROR(__xludf.DUMMYFUNCTION("""COMPUTED_VALUE"""),"CANALIZACIÓN EMBUTIDA")</f>
        <v>CANALIZACIÓN EMBUTIDA</v>
      </c>
      <c r="U3" s="2" t="str">
        <f>IFERROR(__xludf.DUMMYFUNCTION("""COMPUTED_VALUE"""),"CANALIZACIÓN EMBUTIDA")</f>
        <v>CANALIZACIÓN EMBUTIDA</v>
      </c>
      <c r="V3" s="2" t="str">
        <f>IFERROR(__xludf.DUMMYFUNCTION("""COMPUTED_VALUE"""),"Acometida subterránea, hasta 10kw con sistema doble aislación")</f>
        <v>Acometida subterránea, hasta 10kw con sistema doble aislación</v>
      </c>
      <c r="W3" s="2" t="str">
        <f>IFERROR(__xludf.DUMMYFUNCTION("""COMPUTED_VALUE"""),"Acometida subterránea, hasta 10kw con sistema doble aislación")</f>
        <v>Acometida subterránea, hasta 10kw con sistema doble aislación</v>
      </c>
    </row>
    <row r="4">
      <c r="E4" s="2" t="str">
        <f>IFERROR(__xludf.DUMMYFUNCTION("""COMPUTED_VALUE"""),"CANALIZACIÓN EMBUTIDA EN DURLOCK")</f>
        <v>CANALIZACIÓN EMBUTIDA EN DURLOCK</v>
      </c>
      <c r="F4" s="2" t="str">
        <f>IFERROR(__xludf.DUMMYFUNCTION("""COMPUTED_VALUE"""),"CANALIZACIÓN EMBUTIDA EN DURLOCK")</f>
        <v>CANALIZACIÓN EMBUTIDA EN DURLOCK</v>
      </c>
      <c r="G4" s="2" t="str">
        <f>IFERROR(__xludf.DUMMYFUNCTION("""COMPUTED_VALUE"""),"CANALIZACIÓN EMBUTIDA EN DURLOCK")</f>
        <v>CANALIZACIÓN EMBUTIDA EN DURLOCK</v>
      </c>
      <c r="H4" s="2" t="str">
        <f>IFERROR(__xludf.DUMMYFUNCTION("""COMPUTED_VALUE"""),"CANALIZACIÓN EMBUTIDA EN DURLOCK")</f>
        <v>CANALIZACIÓN EMBUTIDA EN DURLOCK</v>
      </c>
      <c r="I4" s="2" t="str">
        <f>IFERROR(__xludf.DUMMYFUNCTION("""COMPUTED_VALUE"""),"CANALIZACIÓN EMBUTIDA EN DURLOCK")</f>
        <v>CANALIZACIÓN EMBUTIDA EN DURLOCK</v>
      </c>
      <c r="J4" s="2" t="str">
        <f>IFERROR(__xludf.DUMMYFUNCTION("""COMPUTED_VALUE"""),"CANALIZACIÓN EMBUTIDA EN DURLOCK")</f>
        <v>CANALIZACIÓN EMBUTIDA EN DURLOCK</v>
      </c>
      <c r="K4" s="2" t="str">
        <f>IFERROR(__xludf.DUMMYFUNCTION("""COMPUTED_VALUE"""),"CANALIZACIÓN EMBUTIDA EN DURLOCK")</f>
        <v>CANALIZACIÓN EMBUTIDA EN DURLOCK</v>
      </c>
      <c r="L4" s="2" t="str">
        <f>IFERROR(__xludf.DUMMYFUNCTION("""COMPUTED_VALUE"""),"CANALIZACIÓN EMBUTIDA EN DURLOCK")</f>
        <v>CANALIZACIÓN EMBUTIDA EN DURLOCK</v>
      </c>
      <c r="M4" s="2" t="str">
        <f>IFERROR(__xludf.DUMMYFUNCTION("""COMPUTED_VALUE"""),"CANALIZACIÓN EMBUTIDA EN DURLOCK")</f>
        <v>CANALIZACIÓN EMBUTIDA EN DURLOCK</v>
      </c>
      <c r="N4" s="2" t="str">
        <f>IFERROR(__xludf.DUMMYFUNCTION("""COMPUTED_VALUE"""),"CANALIZACIÓN EMBUTIDA EN DURLOCK")</f>
        <v>CANALIZACIÓN EMBUTIDA EN DURLOCK</v>
      </c>
      <c r="O4" s="2" t="str">
        <f>IFERROR(__xludf.DUMMYFUNCTION("""COMPUTED_VALUE"""),"CANALIZACIÓN EMBUTIDA EN DURLOCK")</f>
        <v>CANALIZACIÓN EMBUTIDA EN DURLOCK</v>
      </c>
      <c r="P4" s="2" t="str">
        <f>IFERROR(__xludf.DUMMYFUNCTION("""COMPUTED_VALUE"""),"CANALIZACIÓN EMBUTIDA EN DURLOCK")</f>
        <v>CANALIZACIÓN EMBUTIDA EN DURLOCK</v>
      </c>
      <c r="Q4" s="2" t="str">
        <f>IFERROR(__xludf.DUMMYFUNCTION("""COMPUTED_VALUE"""),"CANALIZACIÓN EMBUTIDA EN DURLOCK")</f>
        <v>CANALIZACIÓN EMBUTIDA EN DURLOCK</v>
      </c>
      <c r="R4" s="2" t="str">
        <f>IFERROR(__xludf.DUMMYFUNCTION("""COMPUTED_VALUE"""),"CANALIZACIÓN EMBUTIDA EN DURLOCK")</f>
        <v>CANALIZACIÓN EMBUTIDA EN DURLOCK</v>
      </c>
      <c r="S4" s="2" t="str">
        <f>IFERROR(__xludf.DUMMYFUNCTION("""COMPUTED_VALUE"""),"CANALIZACIÓN EMBUTIDA EN DURLOCK")</f>
        <v>CANALIZACIÓN EMBUTIDA EN DURLOCK</v>
      </c>
      <c r="T4" s="2" t="str">
        <f>IFERROR(__xludf.DUMMYFUNCTION("""COMPUTED_VALUE"""),"CANALIZACIÓN EMBUTIDA EN DURLOCK")</f>
        <v>CANALIZACIÓN EMBUTIDA EN DURLOCK</v>
      </c>
      <c r="U4" s="2" t="str">
        <f>IFERROR(__xludf.DUMMYFUNCTION("""COMPUTED_VALUE"""),"CANALIZACIÓN EMBUTIDA EN DURLOCK")</f>
        <v>CANALIZACIÓN EMBUTIDA EN DURLOCK</v>
      </c>
      <c r="V4" s="2" t="str">
        <f>IFERROR(__xludf.DUMMYFUNCTION("""COMPUTED_VALUE"""),"Acometida Trifásica de 11 a 35kw")</f>
        <v>Acometida Trifásica de 11 a 35kw</v>
      </c>
      <c r="W4" s="2" t="str">
        <f>IFERROR(__xludf.DUMMYFUNCTION("""COMPUTED_VALUE"""),"Acometida Trifásica de 11 a 35kw")</f>
        <v>Acometida Trifásica de 11 a 35kw</v>
      </c>
    </row>
    <row r="5">
      <c r="E5" s="2" t="str">
        <f>IFERROR(__xludf.DUMMYFUNCTION("""COMPUTED_VALUE"""),"CANALIZACIÓN EXTERIOR ")</f>
        <v>CANALIZACIÓN EXTERIOR </v>
      </c>
      <c r="F5" s="2" t="str">
        <f>IFERROR(__xludf.DUMMYFUNCTION("""COMPUTED_VALUE"""),"CANALIZACIÓN EXTERIOR ")</f>
        <v>CANALIZACIÓN EXTERIOR </v>
      </c>
      <c r="G5" s="2" t="str">
        <f>IFERROR(__xludf.DUMMYFUNCTION("""COMPUTED_VALUE"""),"CANALIZACIÓN EXTERIOR ")</f>
        <v>CANALIZACIÓN EXTERIOR </v>
      </c>
      <c r="H5" s="2" t="str">
        <f>IFERROR(__xludf.DUMMYFUNCTION("""COMPUTED_VALUE"""),"CANALIZACIÓN EXTERIOR ")</f>
        <v>CANALIZACIÓN EXTERIOR </v>
      </c>
      <c r="I5" s="2" t="str">
        <f>IFERROR(__xludf.DUMMYFUNCTION("""COMPUTED_VALUE"""),"CANALIZACIÓN EXTERIOR ")</f>
        <v>CANALIZACIÓN EXTERIOR </v>
      </c>
      <c r="J5" s="2" t="str">
        <f>IFERROR(__xludf.DUMMYFUNCTION("""COMPUTED_VALUE"""),"CANALIZACIÓN EXTERIOR ")</f>
        <v>CANALIZACIÓN EXTERIOR </v>
      </c>
      <c r="K5" s="2" t="str">
        <f>IFERROR(__xludf.DUMMYFUNCTION("""COMPUTED_VALUE"""),"CANALIZACIÓN EXTERIOR ")</f>
        <v>CANALIZACIÓN EXTERIOR </v>
      </c>
      <c r="L5" s="2" t="str">
        <f>IFERROR(__xludf.DUMMYFUNCTION("""COMPUTED_VALUE"""),"CANALIZACIÓN EXTERIOR ")</f>
        <v>CANALIZACIÓN EXTERIOR </v>
      </c>
      <c r="M5" s="2" t="str">
        <f>IFERROR(__xludf.DUMMYFUNCTION("""COMPUTED_VALUE"""),"CANALIZACIÓN EXTERIOR ")</f>
        <v>CANALIZACIÓN EXTERIOR </v>
      </c>
      <c r="N5" s="2" t="str">
        <f>IFERROR(__xludf.DUMMYFUNCTION("""COMPUTED_VALUE"""),"CANALIZACIÓN EXTERIOR ")</f>
        <v>CANALIZACIÓN EXTERIOR </v>
      </c>
      <c r="O5" s="2" t="str">
        <f>IFERROR(__xludf.DUMMYFUNCTION("""COMPUTED_VALUE"""),"CANALIZACIÓN EXTERIOR ")</f>
        <v>CANALIZACIÓN EXTERIOR </v>
      </c>
      <c r="P5" s="2" t="str">
        <f>IFERROR(__xludf.DUMMYFUNCTION("""COMPUTED_VALUE"""),"CANALIZACIÓN EXTERIOR ")</f>
        <v>CANALIZACIÓN EXTERIOR </v>
      </c>
      <c r="Q5" s="2" t="str">
        <f>IFERROR(__xludf.DUMMYFUNCTION("""COMPUTED_VALUE"""),"CANALIZACIÓN EXTERIOR ")</f>
        <v>CANALIZACIÓN EXTERIOR </v>
      </c>
      <c r="R5" s="2" t="str">
        <f>IFERROR(__xludf.DUMMYFUNCTION("""COMPUTED_VALUE"""),"CANALIZACIÓN EXTERIOR ")</f>
        <v>CANALIZACIÓN EXTERIOR </v>
      </c>
      <c r="S5" s="2" t="str">
        <f>IFERROR(__xludf.DUMMYFUNCTION("""COMPUTED_VALUE"""),"CANALIZACIÓN EXTERIOR ")</f>
        <v>CANALIZACIÓN EXTERIOR </v>
      </c>
      <c r="T5" s="2" t="str">
        <f>IFERROR(__xludf.DUMMYFUNCTION("""COMPUTED_VALUE"""),"CANALIZACIÓN EXTERIOR ")</f>
        <v>CANALIZACIÓN EXTERIOR </v>
      </c>
      <c r="U5" s="2" t="str">
        <f>IFERROR(__xludf.DUMMYFUNCTION("""COMPUTED_VALUE"""),"CANALIZACIÓN EXTERIOR ")</f>
        <v>CANALIZACIÓN EXTERIOR </v>
      </c>
      <c r="V5" s="2" t="str">
        <f>IFERROR(__xludf.DUMMYFUNCTION("""COMPUTED_VALUE"""),"Acometida Trifásica de 36 a 50kw")</f>
        <v>Acometida Trifásica de 36 a 50kw</v>
      </c>
      <c r="W5" s="2" t="str">
        <f>IFERROR(__xludf.DUMMYFUNCTION("""COMPUTED_VALUE"""),"Acometida Trifásica de 36 a 50kw")</f>
        <v>Acometida Trifásica de 36 a 50kw</v>
      </c>
    </row>
    <row r="6">
      <c r="E6" s="2" t="str">
        <f>IFERROR(__xludf.DUMMYFUNCTION("""COMPUTED_VALUE"""),"CANALIZACIÓN DE CABLE CANAL")</f>
        <v>CANALIZACIÓN DE CABLE CANAL</v>
      </c>
      <c r="F6" s="2" t="str">
        <f>IFERROR(__xludf.DUMMYFUNCTION("""COMPUTED_VALUE"""),"CANALIZACIÓN DE CABLE CANAL")</f>
        <v>CANALIZACIÓN DE CABLE CANAL</v>
      </c>
      <c r="G6" s="2" t="str">
        <f>IFERROR(__xludf.DUMMYFUNCTION("""COMPUTED_VALUE"""),"CANALIZACIÓN DE CABLE CANAL")</f>
        <v>CANALIZACIÓN DE CABLE CANAL</v>
      </c>
      <c r="H6" s="2" t="str">
        <f>IFERROR(__xludf.DUMMYFUNCTION("""COMPUTED_VALUE"""),"CANALIZACIÓN DE CABLE CANAL")</f>
        <v>CANALIZACIÓN DE CABLE CANAL</v>
      </c>
      <c r="I6" s="2" t="str">
        <f>IFERROR(__xludf.DUMMYFUNCTION("""COMPUTED_VALUE"""),"CANALIZACIÓN DE CABLE CANAL")</f>
        <v>CANALIZACIÓN DE CABLE CANAL</v>
      </c>
      <c r="J6" s="2" t="str">
        <f>IFERROR(__xludf.DUMMYFUNCTION("""COMPUTED_VALUE"""),"CANALIZACIÓN DE CABLE CANAL")</f>
        <v>CANALIZACIÓN DE CABLE CANAL</v>
      </c>
      <c r="K6" s="2" t="str">
        <f>IFERROR(__xludf.DUMMYFUNCTION("""COMPUTED_VALUE"""),"CANALIZACIÓN DE CABLE CANAL")</f>
        <v>CANALIZACIÓN DE CABLE CANAL</v>
      </c>
      <c r="L6" s="2" t="str">
        <f>IFERROR(__xludf.DUMMYFUNCTION("""COMPUTED_VALUE"""),"CANALIZACIÓN DE CABLE CANAL")</f>
        <v>CANALIZACIÓN DE CABLE CANAL</v>
      </c>
      <c r="M6" s="2" t="str">
        <f>IFERROR(__xludf.DUMMYFUNCTION("""COMPUTED_VALUE"""),"CANALIZACIÓN DE CABLE CANAL")</f>
        <v>CANALIZACIÓN DE CABLE CANAL</v>
      </c>
      <c r="N6" s="2" t="str">
        <f>IFERROR(__xludf.DUMMYFUNCTION("""COMPUTED_VALUE"""),"CANALIZACIÓN DE CABLE CANAL")</f>
        <v>CANALIZACIÓN DE CABLE CANAL</v>
      </c>
      <c r="O6" s="2" t="str">
        <f>IFERROR(__xludf.DUMMYFUNCTION("""COMPUTED_VALUE"""),"CANALIZACIÓN DE CABLE CANAL")</f>
        <v>CANALIZACIÓN DE CABLE CANAL</v>
      </c>
      <c r="P6" s="2" t="str">
        <f>IFERROR(__xludf.DUMMYFUNCTION("""COMPUTED_VALUE"""),"CANALIZACIÓN DE CABLE CANAL")</f>
        <v>CANALIZACIÓN DE CABLE CANAL</v>
      </c>
      <c r="Q6" s="2" t="str">
        <f>IFERROR(__xludf.DUMMYFUNCTION("""COMPUTED_VALUE"""),"CANALIZACIÓN DE CABLE CANAL")</f>
        <v>CANALIZACIÓN DE CABLE CANAL</v>
      </c>
      <c r="R6" s="2" t="str">
        <f>IFERROR(__xludf.DUMMYFUNCTION("""COMPUTED_VALUE"""),"CANALIZACIÓN DE CABLE CANAL")</f>
        <v>CANALIZACIÓN DE CABLE CANAL</v>
      </c>
      <c r="S6" s="2" t="str">
        <f>IFERROR(__xludf.DUMMYFUNCTION("""COMPUTED_VALUE"""),"CANALIZACIÓN DE CABLE CANAL")</f>
        <v>CANALIZACIÓN DE CABLE CANAL</v>
      </c>
      <c r="T6" s="2" t="str">
        <f>IFERROR(__xludf.DUMMYFUNCTION("""COMPUTED_VALUE"""),"CANALIZACIÓN DE CABLE CANAL")</f>
        <v>CANALIZACIÓN DE CABLE CANAL</v>
      </c>
      <c r="U6" s="2" t="str">
        <f>IFERROR(__xludf.DUMMYFUNCTION("""COMPUTED_VALUE"""),"CANALIZACIÓN DE CABLE CANAL")</f>
        <v>CANALIZACIÓN DE CABLE CANAL</v>
      </c>
      <c r="V6" s="2" t="str">
        <f>IFERROR(__xludf.DUMMYFUNCTION("""COMPUTED_VALUE"""),"Acometida Trifásica mas de 50kw")</f>
        <v>Acometida Trifásica mas de 50kw</v>
      </c>
      <c r="W6" s="2" t="str">
        <f>IFERROR(__xludf.DUMMYFUNCTION("""COMPUTED_VALUE"""),"Acometida Trifásica mas de 50kw")</f>
        <v>Acometida Trifásica mas de 50kw</v>
      </c>
    </row>
    <row r="7">
      <c r="E7" s="2" t="str">
        <f>IFERROR(__xludf.DUMMYFUNCTION("""COMPUTED_VALUE"""),"CANALIZACIÓN Y CABLEADO CON PISO DUCTOS / POLIDUCTOS ")</f>
        <v>CANALIZACIÓN Y CABLEADO CON PISO DUCTOS / POLIDUCTOS </v>
      </c>
      <c r="F7" s="2" t="str">
        <f>IFERROR(__xludf.DUMMYFUNCTION("""COMPUTED_VALUE"""),"CANALIZACIÓN Y CABLEADO CON PISO DUCTOS / POLIDUCTOS ")</f>
        <v>CANALIZACIÓN Y CABLEADO CON PISO DUCTOS / POLIDUCTOS </v>
      </c>
      <c r="G7" s="2" t="str">
        <f>IFERROR(__xludf.DUMMYFUNCTION("""COMPUTED_VALUE"""),"CANALIZACIÓN Y CABLEADO CON PISO DUCTOS / POLIDUCTOS ")</f>
        <v>CANALIZACIÓN Y CABLEADO CON PISO DUCTOS / POLIDUCTOS </v>
      </c>
      <c r="H7" s="2" t="str">
        <f>IFERROR(__xludf.DUMMYFUNCTION("""COMPUTED_VALUE"""),"CANALIZACIÓN Y CABLEADO CON PISO DUCTOS / POLIDUCTOS ")</f>
        <v>CANALIZACIÓN Y CABLEADO CON PISO DUCTOS / POLIDUCTOS </v>
      </c>
      <c r="I7" s="2" t="str">
        <f>IFERROR(__xludf.DUMMYFUNCTION("""COMPUTED_VALUE"""),"CANALIZACIÓN Y CABLEADO CON PISO DUCTOS / POLIDUCTOS ")</f>
        <v>CANALIZACIÓN Y CABLEADO CON PISO DUCTOS / POLIDUCTOS </v>
      </c>
      <c r="J7" s="2" t="str">
        <f>IFERROR(__xludf.DUMMYFUNCTION("""COMPUTED_VALUE"""),"CANALIZACIÓN Y CABLEADO CON PISO DUCTOS / POLIDUCTOS ")</f>
        <v>CANALIZACIÓN Y CABLEADO CON PISO DUCTOS / POLIDUCTOS </v>
      </c>
      <c r="K7" s="2" t="str">
        <f>IFERROR(__xludf.DUMMYFUNCTION("""COMPUTED_VALUE"""),"CANALIZACIÓN Y CABLEADO CON PISO DUCTOS / POLIDUCTOS ")</f>
        <v>CANALIZACIÓN Y CABLEADO CON PISO DUCTOS / POLIDUCTOS </v>
      </c>
      <c r="L7" s="2" t="str">
        <f>IFERROR(__xludf.DUMMYFUNCTION("""COMPUTED_VALUE"""),"CANALIZACIÓN Y CABLEADO CON PISO DUCTOS / POLIDUCTOS ")</f>
        <v>CANALIZACIÓN Y CABLEADO CON PISO DUCTOS / POLIDUCTOS </v>
      </c>
      <c r="M7" s="2" t="str">
        <f>IFERROR(__xludf.DUMMYFUNCTION("""COMPUTED_VALUE"""),"CANALIZACIÓN Y CABLEADO CON PISO DUCTOS / POLIDUCTOS ")</f>
        <v>CANALIZACIÓN Y CABLEADO CON PISO DUCTOS / POLIDUCTOS </v>
      </c>
      <c r="N7" s="2" t="str">
        <f>IFERROR(__xludf.DUMMYFUNCTION("""COMPUTED_VALUE"""),"CANALIZACIÓN Y CABLEADO CON PISO DUCTOS / POLIDUCTOS ")</f>
        <v>CANALIZACIÓN Y CABLEADO CON PISO DUCTOS / POLIDUCTOS </v>
      </c>
      <c r="O7" s="2" t="str">
        <f>IFERROR(__xludf.DUMMYFUNCTION("""COMPUTED_VALUE"""),"CANALIZACIÓN Y CABLEADO CON PISO DUCTOS / POLIDUCTOS ")</f>
        <v>CANALIZACIÓN Y CABLEADO CON PISO DUCTOS / POLIDUCTOS </v>
      </c>
      <c r="P7" s="2" t="str">
        <f>IFERROR(__xludf.DUMMYFUNCTION("""COMPUTED_VALUE"""),"CANALIZACIÓN Y CABLEADO CON PISO DUCTOS / POLIDUCTOS ")</f>
        <v>CANALIZACIÓN Y CABLEADO CON PISO DUCTOS / POLIDUCTOS </v>
      </c>
      <c r="Q7" s="2" t="str">
        <f>IFERROR(__xludf.DUMMYFUNCTION("""COMPUTED_VALUE"""),"CANALIZACIÓN Y CABLEADO CON PISO DUCTOS / POLIDUCTOS ")</f>
        <v>CANALIZACIÓN Y CABLEADO CON PISO DUCTOS / POLIDUCTOS </v>
      </c>
      <c r="R7" s="2" t="str">
        <f>IFERROR(__xludf.DUMMYFUNCTION("""COMPUTED_VALUE"""),"CANALIZACIÓN Y CABLEADO CON PISO DUCTOS / POLIDUCTOS ")</f>
        <v>CANALIZACIÓN Y CABLEADO CON PISO DUCTOS / POLIDUCTOS </v>
      </c>
      <c r="S7" s="2" t="str">
        <f>IFERROR(__xludf.DUMMYFUNCTION("""COMPUTED_VALUE"""),"CANALIZACIÓN Y CABLEADO CON PISO DUCTOS / POLIDUCTOS ")</f>
        <v>CANALIZACIÓN Y CABLEADO CON PISO DUCTOS / POLIDUCTOS </v>
      </c>
      <c r="T7" s="2" t="str">
        <f>IFERROR(__xludf.DUMMYFUNCTION("""COMPUTED_VALUE"""),"CANALIZACIÓN Y CABLEADO CON PISO DUCTOS / POLIDUCTOS ")</f>
        <v>CANALIZACIÓN Y CABLEADO CON PISO DUCTOS / POLIDUCTOS </v>
      </c>
      <c r="U7" s="2" t="str">
        <f>IFERROR(__xludf.DUMMYFUNCTION("""COMPUTED_VALUE"""),"CANALIZACIÓN Y CABLEADO CON PISO DUCTOS / POLIDUCTOS ")</f>
        <v>CANALIZACIÓN Y CABLEADO CON PISO DUCTOS / POLIDUCTOS </v>
      </c>
      <c r="V7" s="2" t="str">
        <f>IFERROR(__xludf.DUMMYFUNCTION("""COMPUTED_VALUE"""),"Fijación tablero de superficie (hasta 54 bocas)")</f>
        <v>Fijación tablero de superficie (hasta 54 bocas)</v>
      </c>
      <c r="W7" s="2" t="str">
        <f>IFERROR(__xludf.DUMMYFUNCTION("""COMPUTED_VALUE"""),"Fijación tablero de superficie (hasta 54 bocas)")</f>
        <v>Fijación tablero de superficie (hasta 54 bocas)</v>
      </c>
    </row>
    <row r="8">
      <c r="E8" s="2" t="str">
        <f>IFERROR(__xludf.DUMMYFUNCTION("""COMPUTED_VALUE"""),"CANALIZACIÓN CON BANDEJAS PORTA CABLES Y PERFIL C")</f>
        <v>CANALIZACIÓN CON BANDEJAS PORTA CABLES Y PERFIL C</v>
      </c>
      <c r="F8" s="2" t="str">
        <f>IFERROR(__xludf.DUMMYFUNCTION("""COMPUTED_VALUE"""),"CANALIZACIÓN CON BANDEJAS PORTA CABLES Y PERFIL C")</f>
        <v>CANALIZACIÓN CON BANDEJAS PORTA CABLES Y PERFIL C</v>
      </c>
      <c r="G8" s="2" t="str">
        <f>IFERROR(__xludf.DUMMYFUNCTION("""COMPUTED_VALUE"""),"CANALIZACIÓN CON BANDEJAS PORTA CABLES Y PERFIL C")</f>
        <v>CANALIZACIÓN CON BANDEJAS PORTA CABLES Y PERFIL C</v>
      </c>
      <c r="H8" s="2" t="str">
        <f>IFERROR(__xludf.DUMMYFUNCTION("""COMPUTED_VALUE"""),"CANALIZACIÓN CON BANDEJAS PORTA CABLES Y PERFIL C")</f>
        <v>CANALIZACIÓN CON BANDEJAS PORTA CABLES Y PERFIL C</v>
      </c>
      <c r="I8" s="2" t="str">
        <f>IFERROR(__xludf.DUMMYFUNCTION("""COMPUTED_VALUE"""),"CANALIZACIÓN CON BANDEJAS PORTA CABLES Y PERFIL C")</f>
        <v>CANALIZACIÓN CON BANDEJAS PORTA CABLES Y PERFIL C</v>
      </c>
      <c r="J8" s="2" t="str">
        <f>IFERROR(__xludf.DUMMYFUNCTION("""COMPUTED_VALUE"""),"CANALIZACIÓN CON BANDEJAS PORTA CABLES Y PERFIL C")</f>
        <v>CANALIZACIÓN CON BANDEJAS PORTA CABLES Y PERFIL C</v>
      </c>
      <c r="K8" s="2" t="str">
        <f>IFERROR(__xludf.DUMMYFUNCTION("""COMPUTED_VALUE"""),"CANALIZACIÓN CON BANDEJAS PORTA CABLES Y PERFIL C")</f>
        <v>CANALIZACIÓN CON BANDEJAS PORTA CABLES Y PERFIL C</v>
      </c>
      <c r="L8" s="2" t="str">
        <f>IFERROR(__xludf.DUMMYFUNCTION("""COMPUTED_VALUE"""),"CANALIZACIÓN CON BANDEJAS PORTA CABLES Y PERFIL C")</f>
        <v>CANALIZACIÓN CON BANDEJAS PORTA CABLES Y PERFIL C</v>
      </c>
      <c r="M8" s="2" t="str">
        <f>IFERROR(__xludf.DUMMYFUNCTION("""COMPUTED_VALUE"""),"CANALIZACIÓN CON BANDEJAS PORTA CABLES Y PERFIL C")</f>
        <v>CANALIZACIÓN CON BANDEJAS PORTA CABLES Y PERFIL C</v>
      </c>
      <c r="N8" s="2" t="str">
        <f>IFERROR(__xludf.DUMMYFUNCTION("""COMPUTED_VALUE"""),"CANALIZACIÓN CON BANDEJAS PORTA CABLES Y PERFIL C")</f>
        <v>CANALIZACIÓN CON BANDEJAS PORTA CABLES Y PERFIL C</v>
      </c>
      <c r="O8" s="2" t="str">
        <f>IFERROR(__xludf.DUMMYFUNCTION("""COMPUTED_VALUE"""),"CANALIZACIÓN CON BANDEJAS PORTA CABLES Y PERFIL C")</f>
        <v>CANALIZACIÓN CON BANDEJAS PORTA CABLES Y PERFIL C</v>
      </c>
      <c r="P8" s="2" t="str">
        <f>IFERROR(__xludf.DUMMYFUNCTION("""COMPUTED_VALUE"""),"CANALIZACIÓN CON BANDEJAS PORTA CABLES Y PERFIL C")</f>
        <v>CANALIZACIÓN CON BANDEJAS PORTA CABLES Y PERFIL C</v>
      </c>
      <c r="Q8" s="2" t="str">
        <f>IFERROR(__xludf.DUMMYFUNCTION("""COMPUTED_VALUE"""),"CANALIZACIÓN CON BANDEJAS PORTA CABLES Y PERFIL C")</f>
        <v>CANALIZACIÓN CON BANDEJAS PORTA CABLES Y PERFIL C</v>
      </c>
      <c r="R8" s="2" t="str">
        <f>IFERROR(__xludf.DUMMYFUNCTION("""COMPUTED_VALUE"""),"CANALIZACIÓN CON BANDEJAS PORTA CABLES Y PERFIL C")</f>
        <v>CANALIZACIÓN CON BANDEJAS PORTA CABLES Y PERFIL C</v>
      </c>
      <c r="S8" s="2" t="str">
        <f>IFERROR(__xludf.DUMMYFUNCTION("""COMPUTED_VALUE"""),"CANALIZACIÓN CON BANDEJAS PORTA CABLES Y PERFIL C")</f>
        <v>CANALIZACIÓN CON BANDEJAS PORTA CABLES Y PERFIL C</v>
      </c>
      <c r="T8" s="2" t="str">
        <f>IFERROR(__xludf.DUMMYFUNCTION("""COMPUTED_VALUE"""),"CANALIZACIÓN CON BANDEJAS PORTA CABLES Y PERFIL C")</f>
        <v>CANALIZACIÓN CON BANDEJAS PORTA CABLES Y PERFIL C</v>
      </c>
      <c r="U8" s="2" t="str">
        <f>IFERROR(__xludf.DUMMYFUNCTION("""COMPUTED_VALUE"""),"CANALIZACIÓN CON BANDEJAS PORTA CABLES Y PERFIL C")</f>
        <v>CANALIZACIÓN CON BANDEJAS PORTA CABLES Y PERFIL C</v>
      </c>
      <c r="V8" s="2" t="str">
        <f>IFERROR(__xludf.DUMMYFUNCTION("""COMPUTED_VALUE"""),"Fijación tablero de superficie")</f>
        <v>Fijación tablero de superficie</v>
      </c>
      <c r="W8" s="2" t="str">
        <f>IFERROR(__xludf.DUMMYFUNCTION("""COMPUTED_VALUE"""),"Fijación tablero de superficie")</f>
        <v>Fijación tablero de superficie</v>
      </c>
    </row>
    <row r="9">
      <c r="E9" s="2" t="str">
        <f>IFERROR(__xludf.DUMMYFUNCTION("""COMPUTED_VALUE"""),"CABLEADOS EN CAÑERÍAS ")</f>
        <v>CABLEADOS EN CAÑERÍAS </v>
      </c>
      <c r="F9" s="2" t="str">
        <f>IFERROR(__xludf.DUMMYFUNCTION("""COMPUTED_VALUE"""),"CABLEADOS EN CAÑERÍAS ")</f>
        <v>CABLEADOS EN CAÑERÍAS </v>
      </c>
      <c r="G9" s="2" t="str">
        <f>IFERROR(__xludf.DUMMYFUNCTION("""COMPUTED_VALUE"""),"CABLEADOS EN CAÑERÍAS ")</f>
        <v>CABLEADOS EN CAÑERÍAS </v>
      </c>
      <c r="H9" s="2" t="str">
        <f>IFERROR(__xludf.DUMMYFUNCTION("""COMPUTED_VALUE"""),"CABLEADOS EN CAÑERÍAS ")</f>
        <v>CABLEADOS EN CAÑERÍAS </v>
      </c>
      <c r="I9" s="2" t="str">
        <f>IFERROR(__xludf.DUMMYFUNCTION("""COMPUTED_VALUE"""),"CABLEADOS EN CAÑERÍAS ")</f>
        <v>CABLEADOS EN CAÑERÍAS </v>
      </c>
      <c r="J9" s="2" t="str">
        <f>IFERROR(__xludf.DUMMYFUNCTION("""COMPUTED_VALUE"""),"CABLEADOS EN CAÑERÍAS ")</f>
        <v>CABLEADOS EN CAÑERÍAS </v>
      </c>
      <c r="K9" s="2" t="str">
        <f>IFERROR(__xludf.DUMMYFUNCTION("""COMPUTED_VALUE"""),"CABLEADOS EN CAÑERÍAS ")</f>
        <v>CABLEADOS EN CAÑERÍAS </v>
      </c>
      <c r="L9" s="2" t="str">
        <f>IFERROR(__xludf.DUMMYFUNCTION("""COMPUTED_VALUE"""),"CABLEADOS EN CAÑERÍAS ")</f>
        <v>CABLEADOS EN CAÑERÍAS </v>
      </c>
      <c r="M9" s="2" t="str">
        <f>IFERROR(__xludf.DUMMYFUNCTION("""COMPUTED_VALUE"""),"CABLEADOS EN CAÑERÍAS ")</f>
        <v>CABLEADOS EN CAÑERÍAS </v>
      </c>
      <c r="N9" s="2" t="str">
        <f>IFERROR(__xludf.DUMMYFUNCTION("""COMPUTED_VALUE"""),"CABLEADOS EN CAÑERÍAS ")</f>
        <v>CABLEADOS EN CAÑERÍAS </v>
      </c>
      <c r="O9" s="2" t="str">
        <f>IFERROR(__xludf.DUMMYFUNCTION("""COMPUTED_VALUE"""),"CABLEADOS EN CAÑERÍAS ")</f>
        <v>CABLEADOS EN CAÑERÍAS </v>
      </c>
      <c r="P9" s="2" t="str">
        <f>IFERROR(__xludf.DUMMYFUNCTION("""COMPUTED_VALUE"""),"CABLEADOS EN CAÑERÍAS ")</f>
        <v>CABLEADOS EN CAÑERÍAS </v>
      </c>
      <c r="Q9" s="2" t="str">
        <f>IFERROR(__xludf.DUMMYFUNCTION("""COMPUTED_VALUE"""),"CABLEADOS EN CAÑERÍAS ")</f>
        <v>CABLEADOS EN CAÑERÍAS </v>
      </c>
      <c r="R9" s="2" t="str">
        <f>IFERROR(__xludf.DUMMYFUNCTION("""COMPUTED_VALUE"""),"CABLEADOS EN CAÑERÍAS ")</f>
        <v>CABLEADOS EN CAÑERÍAS </v>
      </c>
      <c r="S9" s="2" t="str">
        <f>IFERROR(__xludf.DUMMYFUNCTION("""COMPUTED_VALUE"""),"CABLEADOS EN CAÑERÍAS ")</f>
        <v>CABLEADOS EN CAÑERÍAS </v>
      </c>
      <c r="T9" s="2" t="str">
        <f>IFERROR(__xludf.DUMMYFUNCTION("""COMPUTED_VALUE"""),"CABLEADOS EN CAÑERÍAS ")</f>
        <v>CABLEADOS EN CAÑERÍAS </v>
      </c>
      <c r="U9" s="2" t="str">
        <f>IFERROR(__xludf.DUMMYFUNCTION("""COMPUTED_VALUE"""),"CABLEADOS EN CAÑERÍAS ")</f>
        <v>CABLEADOS EN CAÑERÍAS </v>
      </c>
      <c r="V9" s="2" t="str">
        <f>IFERROR(__xludf.DUMMYFUNCTION("""COMPUTED_VALUE"""),"Empotrado de gabinete en mampostería (de 1 a 24 bocas)")</f>
        <v>Empotrado de gabinete en mampostería (de 1 a 24 bocas)</v>
      </c>
      <c r="W9" s="2" t="str">
        <f>IFERROR(__xludf.DUMMYFUNCTION("""COMPUTED_VALUE"""),"Empotrado de gabinete en mampostería (de 1 a 24 bocas)")</f>
        <v>Empotrado de gabinete en mampostería (de 1 a 24 bocas)</v>
      </c>
    </row>
    <row r="10">
      <c r="E10" s="2" t="str">
        <f>IFERROR(__xludf.DUMMYFUNCTION("""COMPUTED_VALUE"""),"CABLEADO EN BANDEJAS PORTA CABLES ")</f>
        <v>CABLEADO EN BANDEJAS PORTA CABLES </v>
      </c>
      <c r="F10" s="2" t="str">
        <f>IFERROR(__xludf.DUMMYFUNCTION("""COMPUTED_VALUE"""),"CABLEADO EN BANDEJAS PORTA CABLES ")</f>
        <v>CABLEADO EN BANDEJAS PORTA CABLES </v>
      </c>
      <c r="G10" s="2" t="str">
        <f>IFERROR(__xludf.DUMMYFUNCTION("""COMPUTED_VALUE"""),"CABLEADO EN BANDEJAS PORTA CABLES ")</f>
        <v>CABLEADO EN BANDEJAS PORTA CABLES </v>
      </c>
      <c r="H10" s="2" t="str">
        <f>IFERROR(__xludf.DUMMYFUNCTION("""COMPUTED_VALUE"""),"CABLEADO EN BANDEJAS PORTA CABLES ")</f>
        <v>CABLEADO EN BANDEJAS PORTA CABLES </v>
      </c>
      <c r="I10" s="2" t="str">
        <f>IFERROR(__xludf.DUMMYFUNCTION("""COMPUTED_VALUE"""),"CABLEADO EN BANDEJAS PORTA CABLES ")</f>
        <v>CABLEADO EN BANDEJAS PORTA CABLES </v>
      </c>
      <c r="J10" s="2" t="str">
        <f>IFERROR(__xludf.DUMMYFUNCTION("""COMPUTED_VALUE"""),"CABLEADO EN BANDEJAS PORTA CABLES ")</f>
        <v>CABLEADO EN BANDEJAS PORTA CABLES </v>
      </c>
      <c r="K10" s="2" t="str">
        <f>IFERROR(__xludf.DUMMYFUNCTION("""COMPUTED_VALUE"""),"CABLEADO EN BANDEJAS PORTA CABLES ")</f>
        <v>CABLEADO EN BANDEJAS PORTA CABLES </v>
      </c>
      <c r="L10" s="2" t="str">
        <f>IFERROR(__xludf.DUMMYFUNCTION("""COMPUTED_VALUE"""),"CABLEADO EN BANDEJAS PORTA CABLES ")</f>
        <v>CABLEADO EN BANDEJAS PORTA CABLES </v>
      </c>
      <c r="M10" s="2" t="str">
        <f>IFERROR(__xludf.DUMMYFUNCTION("""COMPUTED_VALUE"""),"CABLEADO EN BANDEJAS PORTA CABLES ")</f>
        <v>CABLEADO EN BANDEJAS PORTA CABLES </v>
      </c>
      <c r="N10" s="2" t="str">
        <f>IFERROR(__xludf.DUMMYFUNCTION("""COMPUTED_VALUE"""),"CABLEADO EN BANDEJAS PORTA CABLES ")</f>
        <v>CABLEADO EN BANDEJAS PORTA CABLES </v>
      </c>
      <c r="O10" s="2" t="str">
        <f>IFERROR(__xludf.DUMMYFUNCTION("""COMPUTED_VALUE"""),"CABLEADO EN BANDEJAS PORTA CABLES ")</f>
        <v>CABLEADO EN BANDEJAS PORTA CABLES </v>
      </c>
      <c r="P10" s="2" t="str">
        <f>IFERROR(__xludf.DUMMYFUNCTION("""COMPUTED_VALUE"""),"CABLEADO EN BANDEJAS PORTA CABLES ")</f>
        <v>CABLEADO EN BANDEJAS PORTA CABLES </v>
      </c>
      <c r="Q10" s="2" t="str">
        <f>IFERROR(__xludf.DUMMYFUNCTION("""COMPUTED_VALUE"""),"CABLEADO EN BANDEJAS PORTA CABLES ")</f>
        <v>CABLEADO EN BANDEJAS PORTA CABLES </v>
      </c>
      <c r="R10" s="2" t="str">
        <f>IFERROR(__xludf.DUMMYFUNCTION("""COMPUTED_VALUE"""),"CABLEADO EN BANDEJAS PORTA CABLES ")</f>
        <v>CABLEADO EN BANDEJAS PORTA CABLES </v>
      </c>
      <c r="S10" s="2" t="str">
        <f>IFERROR(__xludf.DUMMYFUNCTION("""COMPUTED_VALUE"""),"CABLEADO EN BANDEJAS PORTA CABLES ")</f>
        <v>CABLEADO EN BANDEJAS PORTA CABLES </v>
      </c>
      <c r="T10" s="2" t="str">
        <f>IFERROR(__xludf.DUMMYFUNCTION("""COMPUTED_VALUE"""),"CABLEADO EN BANDEJAS PORTA CABLES ")</f>
        <v>CABLEADO EN BANDEJAS PORTA CABLES </v>
      </c>
      <c r="U10" s="2" t="str">
        <f>IFERROR(__xludf.DUMMYFUNCTION("""COMPUTED_VALUE"""),"CABLEADO EN BANDEJAS PORTA CABLES ")</f>
        <v>CABLEADO EN BANDEJAS PORTA CABLES </v>
      </c>
      <c r="V10" s="2" t="str">
        <f>IFERROR(__xludf.DUMMYFUNCTION("""COMPUTED_VALUE"""),"Empotrado / Fijación de gabinete en mampostería")</f>
        <v>Empotrado / Fijación de gabinete en mampostería</v>
      </c>
      <c r="W10" s="2" t="str">
        <f>IFERROR(__xludf.DUMMYFUNCTION("""COMPUTED_VALUE"""),"Empotrado / Fijación de gabinete en mampostería")</f>
        <v>Empotrado / Fijación de gabinete en mampostería</v>
      </c>
    </row>
    <row r="11">
      <c r="E11" s="2" t="str">
        <f>IFERROR(__xludf.DUMMYFUNCTION("""COMPUTED_VALUE"""),"COLOCACIÓN DE INTERRUPTORES, TOMAS, ETC.")</f>
        <v>COLOCACIÓN DE INTERRUPTORES, TOMAS, ETC.</v>
      </c>
      <c r="F11" s="2" t="str">
        <f>IFERROR(__xludf.DUMMYFUNCTION("""COMPUTED_VALUE"""),"COLOCACIÓN DE INTERRUPTORES, TOMAS, ETC.")</f>
        <v>COLOCACIÓN DE INTERRUPTORES, TOMAS, ETC.</v>
      </c>
      <c r="G11" s="2" t="str">
        <f>IFERROR(__xludf.DUMMYFUNCTION("""COMPUTED_VALUE"""),"COLOCACIÓN DE INTERRUPTORES, TOMAS, ETC.")</f>
        <v>COLOCACIÓN DE INTERRUPTORES, TOMAS, ETC.</v>
      </c>
      <c r="H11" s="2" t="str">
        <f>IFERROR(__xludf.DUMMYFUNCTION("""COMPUTED_VALUE"""),"COLOCACIÓN DE INTERRUPTORES, TOMAS, ETC.")</f>
        <v>COLOCACIÓN DE INTERRUPTORES, TOMAS, ETC.</v>
      </c>
      <c r="I11" s="2" t="str">
        <f>IFERROR(__xludf.DUMMYFUNCTION("""COMPUTED_VALUE"""),"COLOCACIÓN DE INTERRUPTORES, TOMAS, ETC.")</f>
        <v>COLOCACIÓN DE INTERRUPTORES, TOMAS, ETC.</v>
      </c>
      <c r="J11" s="2" t="str">
        <f>IFERROR(__xludf.DUMMYFUNCTION("""COMPUTED_VALUE"""),"COLOCACIÓN DE INTERRUPTORES, TOMAS, ETC.")</f>
        <v>COLOCACIÓN DE INTERRUPTORES, TOMAS, ETC.</v>
      </c>
      <c r="K11" s="2" t="str">
        <f>IFERROR(__xludf.DUMMYFUNCTION("""COMPUTED_VALUE"""),"COLOCACIÓN DE INTERRUPTORES, TOMAS, ETC.")</f>
        <v>COLOCACIÓN DE INTERRUPTORES, TOMAS, ETC.</v>
      </c>
      <c r="L11" s="2" t="str">
        <f>IFERROR(__xludf.DUMMYFUNCTION("""COMPUTED_VALUE"""),"COLOCACIÓN DE INTERRUPTORES, TOMAS, ETC.")</f>
        <v>COLOCACIÓN DE INTERRUPTORES, TOMAS, ETC.</v>
      </c>
      <c r="M11" s="2" t="str">
        <f>IFERROR(__xludf.DUMMYFUNCTION("""COMPUTED_VALUE"""),"COLOCACIÓN DE INTERRUPTORES, TOMAS, ETC.")</f>
        <v>COLOCACIÓN DE INTERRUPTORES, TOMAS, ETC.</v>
      </c>
      <c r="N11" s="2" t="str">
        <f>IFERROR(__xludf.DUMMYFUNCTION("""COMPUTED_VALUE"""),"COLOCACIÓN DE INTERRUPTORES, TOMAS, ETC.")</f>
        <v>COLOCACIÓN DE INTERRUPTORES, TOMAS, ETC.</v>
      </c>
      <c r="O11" s="2" t="str">
        <f>IFERROR(__xludf.DUMMYFUNCTION("""COMPUTED_VALUE"""),"COLOCACIÓN DE INTERRUPTORES, TOMAS, ETC.")</f>
        <v>COLOCACIÓN DE INTERRUPTORES, TOMAS, ETC.</v>
      </c>
      <c r="P11" s="2" t="str">
        <f>IFERROR(__xludf.DUMMYFUNCTION("""COMPUTED_VALUE"""),"COLOCACIÓN DE INTERRUPTORES, TOMAS, ETC.")</f>
        <v>COLOCACIÓN DE INTERRUPTORES, TOMAS, ETC.</v>
      </c>
      <c r="Q11" s="2" t="str">
        <f>IFERROR(__xludf.DUMMYFUNCTION("""COMPUTED_VALUE"""),"COLOCACIÓN DE INTERRUPTORES, TOMAS, ETC.")</f>
        <v>COLOCACIÓN DE INTERRUPTORES, TOMAS, ETC.</v>
      </c>
      <c r="R11" s="2" t="str">
        <f>IFERROR(__xludf.DUMMYFUNCTION("""COMPUTED_VALUE"""),"COLOCACIÓN DE INTERRUPTORES, TOMAS, ETC.")</f>
        <v>COLOCACIÓN DE INTERRUPTORES, TOMAS, ETC.</v>
      </c>
      <c r="S11" s="2" t="str">
        <f>IFERROR(__xludf.DUMMYFUNCTION("""COMPUTED_VALUE"""),"COLOCACIÓN DE INTERRUPTORES, TOMAS, ETC.")</f>
        <v>COLOCACIÓN DE INTERRUPTORES, TOMAS, ETC.</v>
      </c>
      <c r="T11" s="2" t="str">
        <f>IFERROR(__xludf.DUMMYFUNCTION("""COMPUTED_VALUE"""),"COLOCACIÓN DE INTERRUPTORES, TOMAS, ETC.")</f>
        <v>COLOCACIÓN DE INTERRUPTORES, TOMAS, ETC.</v>
      </c>
      <c r="U11" s="2" t="str">
        <f>IFERROR(__xludf.DUMMYFUNCTION("""COMPUTED_VALUE"""),"COLOCACIÓN DE INTERRUPTORES, TOMAS, ETC.")</f>
        <v>COLOCACIÓN DE INTERRUPTORES, TOMAS, ETC.</v>
      </c>
      <c r="V11" s="2" t="str">
        <f>IFERROR(__xludf.DUMMYFUNCTION("""COMPUTED_VALUE"""),"Empotrado de gabinete en mampostería (de 25 a 54 bocas)")</f>
        <v>Empotrado de gabinete en mampostería (de 25 a 54 bocas)</v>
      </c>
      <c r="W11" s="2" t="str">
        <f>IFERROR(__xludf.DUMMYFUNCTION("""COMPUTED_VALUE"""),"Empotrado de gabinete en mampostería (de 25 a 54 bocas)")</f>
        <v>Empotrado de gabinete en mampostería (de 25 a 54 bocas)</v>
      </c>
    </row>
    <row r="12">
      <c r="E12" s="2" t="str">
        <f>IFERROR(__xludf.DUMMYFUNCTION("""COMPUTED_VALUE"""),"COLOCACIÓN DE ARTEFACTOS")</f>
        <v>COLOCACIÓN DE ARTEFACTOS</v>
      </c>
      <c r="F12" s="2" t="str">
        <f>IFERROR(__xludf.DUMMYFUNCTION("""COMPUTED_VALUE"""),"COLOCACIÓN DE ARTEFACTOS")</f>
        <v>COLOCACIÓN DE ARTEFACTOS</v>
      </c>
      <c r="G12" s="2" t="str">
        <f>IFERROR(__xludf.DUMMYFUNCTION("""COMPUTED_VALUE"""),"COLOCACIÓN DE ARTEFACTOS")</f>
        <v>COLOCACIÓN DE ARTEFACTOS</v>
      </c>
      <c r="H12" s="2" t="str">
        <f>IFERROR(__xludf.DUMMYFUNCTION("""COMPUTED_VALUE"""),"COLOCACIÓN DE ARTEFACTOS")</f>
        <v>COLOCACIÓN DE ARTEFACTOS</v>
      </c>
      <c r="I12" s="2" t="str">
        <f>IFERROR(__xludf.DUMMYFUNCTION("""COMPUTED_VALUE"""),"COLOCACIÓN DE ARTEFACTOS")</f>
        <v>COLOCACIÓN DE ARTEFACTOS</v>
      </c>
      <c r="J12" s="2" t="str">
        <f>IFERROR(__xludf.DUMMYFUNCTION("""COMPUTED_VALUE"""),"COLOCACIÓN DE ARTEFACTOS")</f>
        <v>COLOCACIÓN DE ARTEFACTOS</v>
      </c>
      <c r="K12" s="2" t="str">
        <f>IFERROR(__xludf.DUMMYFUNCTION("""COMPUTED_VALUE"""),"COLOCACIÓN DE ARTEFACTOS")</f>
        <v>COLOCACIÓN DE ARTEFACTOS</v>
      </c>
      <c r="L12" s="2" t="str">
        <f>IFERROR(__xludf.DUMMYFUNCTION("""COMPUTED_VALUE"""),"COLOCACIÓN DE ARTEFACTOS")</f>
        <v>COLOCACIÓN DE ARTEFACTOS</v>
      </c>
      <c r="M12" s="2" t="str">
        <f>IFERROR(__xludf.DUMMYFUNCTION("""COMPUTED_VALUE"""),"COLOCACIÓN DE ARTEFACTOS")</f>
        <v>COLOCACIÓN DE ARTEFACTOS</v>
      </c>
      <c r="N12" s="2" t="str">
        <f>IFERROR(__xludf.DUMMYFUNCTION("""COMPUTED_VALUE"""),"COLOCACIÓN DE ARTEFACTOS")</f>
        <v>COLOCACIÓN DE ARTEFACTOS</v>
      </c>
      <c r="O12" s="2" t="str">
        <f>IFERROR(__xludf.DUMMYFUNCTION("""COMPUTED_VALUE"""),"COLOCACIÓN DE ARTEFACTOS")</f>
        <v>COLOCACIÓN DE ARTEFACTOS</v>
      </c>
      <c r="P12" s="2" t="str">
        <f>IFERROR(__xludf.DUMMYFUNCTION("""COMPUTED_VALUE"""),"COLOCACIÓN DE ARTEFACTOS")</f>
        <v>COLOCACIÓN DE ARTEFACTOS</v>
      </c>
      <c r="Q12" s="2" t="str">
        <f>IFERROR(__xludf.DUMMYFUNCTION("""COMPUTED_VALUE"""),"COLOCACIÓN DE ARTEFACTOS")</f>
        <v>COLOCACIÓN DE ARTEFACTOS</v>
      </c>
      <c r="R12" s="2" t="str">
        <f>IFERROR(__xludf.DUMMYFUNCTION("""COMPUTED_VALUE"""),"COLOCACIÓN DE ARTEFACTOS")</f>
        <v>COLOCACIÓN DE ARTEFACTOS</v>
      </c>
      <c r="S12" s="2" t="str">
        <f>IFERROR(__xludf.DUMMYFUNCTION("""COMPUTED_VALUE"""),"COLOCACIÓN DE ARTEFACTOS")</f>
        <v>COLOCACIÓN DE ARTEFACTOS</v>
      </c>
      <c r="T12" s="2" t="str">
        <f>IFERROR(__xludf.DUMMYFUNCTION("""COMPUTED_VALUE"""),"COLOCACIÓN DE ARTEFACTOS")</f>
        <v>COLOCACIÓN DE ARTEFACTOS</v>
      </c>
      <c r="U12" s="2" t="str">
        <f>IFERROR(__xludf.DUMMYFUNCTION("""COMPUTED_VALUE"""),"COLOCACIÓN DE ARTEFACTOS")</f>
        <v>COLOCACIÓN DE ARTEFACTOS</v>
      </c>
      <c r="V12" s="2" t="str">
        <f>IFERROR(__xludf.DUMMYFUNCTION("""COMPUTED_VALUE"""),"Armado de tablero de obra")</f>
        <v>Armado de tablero de obra</v>
      </c>
      <c r="W12" s="2" t="str">
        <f>IFERROR(__xludf.DUMMYFUNCTION("""COMPUTED_VALUE"""),"Armado de tablero de obra")</f>
        <v>Armado de tablero de obra</v>
      </c>
    </row>
    <row r="13">
      <c r="E13" s="2" t="str">
        <f>IFERROR(__xludf.DUMMYFUNCTION("""COMPUTED_VALUE"""),"COLOCACIÓN DE ELEMENTOS DE PROTECCIÓN Y COMANDO")</f>
        <v>COLOCACIÓN DE ELEMENTOS DE PROTECCIÓN Y COMANDO</v>
      </c>
      <c r="F13" s="2" t="str">
        <f>IFERROR(__xludf.DUMMYFUNCTION("""COMPUTED_VALUE"""),"COLOCACIÓN DE ELEMENTOS DE PROTECCIÓN Y COMANDO")</f>
        <v>COLOCACIÓN DE ELEMENTOS DE PROTECCIÓN Y COMANDO</v>
      </c>
      <c r="G13" s="2" t="str">
        <f>IFERROR(__xludf.DUMMYFUNCTION("""COMPUTED_VALUE"""),"COLOCACIÓN DE ELEMENTOS DE PROTECCIÓN Y COMANDO")</f>
        <v>COLOCACIÓN DE ELEMENTOS DE PROTECCIÓN Y COMANDO</v>
      </c>
      <c r="H13" s="2" t="str">
        <f>IFERROR(__xludf.DUMMYFUNCTION("""COMPUTED_VALUE"""),"COLOCACIÓN DE ELEMENTOS DE PROTECCIÓN Y COMANDO")</f>
        <v>COLOCACIÓN DE ELEMENTOS DE PROTECCIÓN Y COMANDO</v>
      </c>
      <c r="I13" s="2" t="str">
        <f>IFERROR(__xludf.DUMMYFUNCTION("""COMPUTED_VALUE"""),"COLOCACIÓN DE ELEMENTOS DE PROTECCIÓN Y COMANDO")</f>
        <v>COLOCACIÓN DE ELEMENTOS DE PROTECCIÓN Y COMANDO</v>
      </c>
      <c r="J13" s="2" t="str">
        <f>IFERROR(__xludf.DUMMYFUNCTION("""COMPUTED_VALUE"""),"COLOCACIÓN DE ELEMENTOS DE PROTECCIÓN Y COMANDO")</f>
        <v>COLOCACIÓN DE ELEMENTOS DE PROTECCIÓN Y COMANDO</v>
      </c>
      <c r="K13" s="2" t="str">
        <f>IFERROR(__xludf.DUMMYFUNCTION("""COMPUTED_VALUE"""),"COLOCACIÓN DE ELEMENTOS DE PROTECCIÓN Y COMANDO")</f>
        <v>COLOCACIÓN DE ELEMENTOS DE PROTECCIÓN Y COMANDO</v>
      </c>
      <c r="L13" s="2" t="str">
        <f>IFERROR(__xludf.DUMMYFUNCTION("""COMPUTED_VALUE"""),"COLOCACIÓN DE ELEMENTOS DE PROTECCIÓN Y COMANDO")</f>
        <v>COLOCACIÓN DE ELEMENTOS DE PROTECCIÓN Y COMANDO</v>
      </c>
      <c r="M13" s="2" t="str">
        <f>IFERROR(__xludf.DUMMYFUNCTION("""COMPUTED_VALUE"""),"COLOCACIÓN DE ELEMENTOS DE PROTECCIÓN Y COMANDO")</f>
        <v>COLOCACIÓN DE ELEMENTOS DE PROTECCIÓN Y COMANDO</v>
      </c>
      <c r="N13" s="2" t="str">
        <f>IFERROR(__xludf.DUMMYFUNCTION("""COMPUTED_VALUE"""),"COLOCACIÓN DE ELEMENTOS DE PROTECCIÓN Y COMANDO")</f>
        <v>COLOCACIÓN DE ELEMENTOS DE PROTECCIÓN Y COMANDO</v>
      </c>
      <c r="O13" s="2" t="str">
        <f>IFERROR(__xludf.DUMMYFUNCTION("""COMPUTED_VALUE"""),"COLOCACIÓN DE ELEMENTOS DE PROTECCIÓN Y COMANDO")</f>
        <v>COLOCACIÓN DE ELEMENTOS DE PROTECCIÓN Y COMANDO</v>
      </c>
      <c r="P13" s="2" t="str">
        <f>IFERROR(__xludf.DUMMYFUNCTION("""COMPUTED_VALUE"""),"COLOCACIÓN DE ELEMENTOS DE PROTECCIÓN Y COMANDO")</f>
        <v>COLOCACIÓN DE ELEMENTOS DE PROTECCIÓN Y COMANDO</v>
      </c>
      <c r="Q13" s="2" t="str">
        <f>IFERROR(__xludf.DUMMYFUNCTION("""COMPUTED_VALUE"""),"COLOCACIÓN DE ELEMENTOS DE PROTECCIÓN Y COMANDO")</f>
        <v>COLOCACIÓN DE ELEMENTOS DE PROTECCIÓN Y COMANDO</v>
      </c>
      <c r="R13" s="2" t="str">
        <f>IFERROR(__xludf.DUMMYFUNCTION("""COMPUTED_VALUE"""),"COLOCACIÓN DE ELEMENTOS DE PROTECCIÓN Y COMANDO")</f>
        <v>COLOCACIÓN DE ELEMENTOS DE PROTECCIÓN Y COMANDO</v>
      </c>
      <c r="S13" s="2" t="str">
        <f>IFERROR(__xludf.DUMMYFUNCTION("""COMPUTED_VALUE"""),"COLOCACIÓN DE ELEMENTOS DE PROTECCIÓN Y COMANDO")</f>
        <v>COLOCACIÓN DE ELEMENTOS DE PROTECCIÓN Y COMANDO</v>
      </c>
      <c r="T13" s="2" t="str">
        <f>IFERROR(__xludf.DUMMYFUNCTION("""COMPUTED_VALUE"""),"COLOCACIÓN DE ELEMENTOS DE PROTECCIÓN Y COMANDO")</f>
        <v>COLOCACIÓN DE ELEMENTOS DE PROTECCIÓN Y COMANDO</v>
      </c>
      <c r="U13" s="2" t="str">
        <f>IFERROR(__xludf.DUMMYFUNCTION("""COMPUTED_VALUE"""),"COLOCACIÓN DE ELEMENTOS DE PROTECCIÓN Y COMANDO")</f>
        <v>COLOCACIÓN DE ELEMENTOS DE PROTECCIÓN Y COMANDO</v>
      </c>
      <c r="V13" s="2" t="str">
        <f>IFERROR(__xludf.DUMMYFUNCTION("""COMPUTED_VALUE"""),"Zanjeo x metro ( 25 x 80cm) mas tendido de cable subterraneo hasta 4x10mm y relleno con protecciones mecánicas para longitudes de cable menor a 10 metros")</f>
        <v>Zanjeo x metro ( 25 x 80cm) mas tendido de cable subterraneo hasta 4x10mm y relleno con protecciones mecánicas para longitudes de cable menor a 10 metros</v>
      </c>
      <c r="W13" s="2" t="str">
        <f>IFERROR(__xludf.DUMMYFUNCTION("""COMPUTED_VALUE"""),"Zanjeo x metro ( 25 x 80cm) mas tendido de cable subterraneo hasta 4x10mm y relleno con protecciones mecánicas para longitudes de cable menor a 10 metros")</f>
        <v>Zanjeo x metro ( 25 x 80cm) mas tendido de cable subterraneo hasta 4x10mm y relleno con protecciones mecánicas para longitudes de cable menor a 10 metros</v>
      </c>
    </row>
    <row r="14">
      <c r="E14" s="2" t="str">
        <f>IFERROR(__xludf.DUMMYFUNCTION("""COMPUTED_VALUE"""),"TABLERO DE COMANDO DE MOTORES")</f>
        <v>TABLERO DE COMANDO DE MOTORES</v>
      </c>
      <c r="F14" s="2" t="str">
        <f>IFERROR(__xludf.DUMMYFUNCTION("""COMPUTED_VALUE"""),"TABLERO DE COMANDO DE MOTORES")</f>
        <v>TABLERO DE COMANDO DE MOTORES</v>
      </c>
      <c r="G14" s="2" t="str">
        <f>IFERROR(__xludf.DUMMYFUNCTION("""COMPUTED_VALUE"""),"TABLERO DE COMANDO DE MOTORES")</f>
        <v>TABLERO DE COMANDO DE MOTORES</v>
      </c>
      <c r="H14" s="2" t="str">
        <f>IFERROR(__xludf.DUMMYFUNCTION("""COMPUTED_VALUE"""),"TABLERO DE COMANDO DE MOTORES")</f>
        <v>TABLERO DE COMANDO DE MOTORES</v>
      </c>
      <c r="I14" s="2" t="str">
        <f>IFERROR(__xludf.DUMMYFUNCTION("""COMPUTED_VALUE"""),"TABLERO DE COMANDO DE MOTORES")</f>
        <v>TABLERO DE COMANDO DE MOTORES</v>
      </c>
      <c r="J14" s="2" t="str">
        <f>IFERROR(__xludf.DUMMYFUNCTION("""COMPUTED_VALUE"""),"TABLERO DE COMANDO DE MOTORES")</f>
        <v>TABLERO DE COMANDO DE MOTORES</v>
      </c>
      <c r="K14" s="2" t="str">
        <f>IFERROR(__xludf.DUMMYFUNCTION("""COMPUTED_VALUE"""),"TABLERO DE COMANDO DE MOTORES")</f>
        <v>TABLERO DE COMANDO DE MOTORES</v>
      </c>
      <c r="L14" s="2" t="str">
        <f>IFERROR(__xludf.DUMMYFUNCTION("""COMPUTED_VALUE"""),"TABLERO DE COMANDO DE MOTORES")</f>
        <v>TABLERO DE COMANDO DE MOTORES</v>
      </c>
      <c r="M14" s="2" t="str">
        <f>IFERROR(__xludf.DUMMYFUNCTION("""COMPUTED_VALUE"""),"TABLERO DE COMANDO DE MOTORES")</f>
        <v>TABLERO DE COMANDO DE MOTORES</v>
      </c>
      <c r="N14" s="2" t="str">
        <f>IFERROR(__xludf.DUMMYFUNCTION("""COMPUTED_VALUE"""),"TABLERO DE COMANDO DE MOTORES")</f>
        <v>TABLERO DE COMANDO DE MOTORES</v>
      </c>
      <c r="O14" s="2" t="str">
        <f>IFERROR(__xludf.DUMMYFUNCTION("""COMPUTED_VALUE"""),"TABLERO DE COMANDO DE MOTORES")</f>
        <v>TABLERO DE COMANDO DE MOTORES</v>
      </c>
      <c r="P14" s="2" t="str">
        <f>IFERROR(__xludf.DUMMYFUNCTION("""COMPUTED_VALUE"""),"TABLERO DE COMANDO DE MOTORES")</f>
        <v>TABLERO DE COMANDO DE MOTORES</v>
      </c>
      <c r="Q14" s="2" t="str">
        <f>IFERROR(__xludf.DUMMYFUNCTION("""COMPUTED_VALUE"""),"TABLERO DE COMANDO DE MOTORES")</f>
        <v>TABLERO DE COMANDO DE MOTORES</v>
      </c>
      <c r="R14" s="2" t="str">
        <f>IFERROR(__xludf.DUMMYFUNCTION("""COMPUTED_VALUE"""),"TABLERO DE COMANDO DE MOTORES")</f>
        <v>TABLERO DE COMANDO DE MOTORES</v>
      </c>
      <c r="S14" s="2" t="str">
        <f>IFERROR(__xludf.DUMMYFUNCTION("""COMPUTED_VALUE"""),"TABLERO DE COMANDO DE MOTORES")</f>
        <v>TABLERO DE COMANDO DE MOTORES</v>
      </c>
      <c r="T14" s="2" t="str">
        <f>IFERROR(__xludf.DUMMYFUNCTION("""COMPUTED_VALUE"""),"TABLERO DE COMANDO DE MOTORES")</f>
        <v>TABLERO DE COMANDO DE MOTORES</v>
      </c>
      <c r="U14" s="2" t="str">
        <f>IFERROR(__xludf.DUMMYFUNCTION("""COMPUTED_VALUE"""),"TABLERO DE COMANDO DE MOTORES")</f>
        <v>TABLERO DE COMANDO DE MOTORES</v>
      </c>
      <c r="V14" s="2" t="str">
        <f>IFERROR(__xludf.DUMMYFUNCTION("""COMPUTED_VALUE"""),"Zanjeo x metro ( 25 x 80cm) mas tendido de cable subterraneo hasta 4x10mm y relleno con protecciones mecánicas para longitudes de cable mayor a 10 metros")</f>
        <v>Zanjeo x metro ( 25 x 80cm) mas tendido de cable subterraneo hasta 4x10mm y relleno con protecciones mecánicas para longitudes de cable mayor a 10 metros</v>
      </c>
      <c r="W14" s="2" t="str">
        <f>IFERROR(__xludf.DUMMYFUNCTION("""COMPUTED_VALUE"""),"Zanjeo x metro ( 25 x 80cm) mas tendido de cable subterraneo hasta 4x10mm y relleno con protecciones mecánicas para longitudes de cable mayor a 10 metros")</f>
        <v>Zanjeo x metro ( 25 x 80cm) mas tendido de cable subterraneo hasta 4x10mm y relleno con protecciones mecánicas para longitudes de cable mayor a 10 metros</v>
      </c>
    </row>
    <row r="15">
      <c r="E15" s="2" t="str">
        <f>IFERROR(__xludf.DUMMYFUNCTION("""COMPUTED_VALUE"""),"EMERGENCIAS ")</f>
        <v>EMERGENCIAS </v>
      </c>
      <c r="F15" s="2" t="str">
        <f>IFERROR(__xludf.DUMMYFUNCTION("""COMPUTED_VALUE"""),"EMERGENCIAS ")</f>
        <v>EMERGENCIAS </v>
      </c>
      <c r="G15" s="2" t="str">
        <f>IFERROR(__xludf.DUMMYFUNCTION("""COMPUTED_VALUE"""),"EMERGENCIAS ")</f>
        <v>EMERGENCIAS </v>
      </c>
      <c r="H15" s="2" t="str">
        <f>IFERROR(__xludf.DUMMYFUNCTION("""COMPUTED_VALUE"""),"EMERGENCIAS ")</f>
        <v>EMERGENCIAS </v>
      </c>
      <c r="I15" s="2" t="str">
        <f>IFERROR(__xludf.DUMMYFUNCTION("""COMPUTED_VALUE"""),"EMERGENCIAS ")</f>
        <v>EMERGENCIAS </v>
      </c>
      <c r="J15" s="2" t="str">
        <f>IFERROR(__xludf.DUMMYFUNCTION("""COMPUTED_VALUE"""),"EMERGENCIAS ")</f>
        <v>EMERGENCIAS </v>
      </c>
      <c r="K15" s="2" t="str">
        <f>IFERROR(__xludf.DUMMYFUNCTION("""COMPUTED_VALUE"""),"EMERGENCIAS ")</f>
        <v>EMERGENCIAS </v>
      </c>
      <c r="L15" s="2" t="str">
        <f>IFERROR(__xludf.DUMMYFUNCTION("""COMPUTED_VALUE"""),"EMERGENCIAS ")</f>
        <v>EMERGENCIAS </v>
      </c>
      <c r="M15" s="2" t="str">
        <f>IFERROR(__xludf.DUMMYFUNCTION("""COMPUTED_VALUE"""),"EMERGENCIAS ")</f>
        <v>EMERGENCIAS </v>
      </c>
      <c r="N15" s="2" t="str">
        <f>IFERROR(__xludf.DUMMYFUNCTION("""COMPUTED_VALUE"""),"EMERGENCIAS ")</f>
        <v>EMERGENCIAS </v>
      </c>
      <c r="O15" s="2" t="str">
        <f>IFERROR(__xludf.DUMMYFUNCTION("""COMPUTED_VALUE"""),"EMERGENCIAS ")</f>
        <v>EMERGENCIAS </v>
      </c>
      <c r="P15" s="2" t="str">
        <f>IFERROR(__xludf.DUMMYFUNCTION("""COMPUTED_VALUE"""),"EMERGENCIAS ")</f>
        <v>EMERGENCIAS </v>
      </c>
      <c r="Q15" s="2" t="str">
        <f>IFERROR(__xludf.DUMMYFUNCTION("""COMPUTED_VALUE"""),"EMERGENCIAS ")</f>
        <v>EMERGENCIAS </v>
      </c>
      <c r="R15" s="2" t="str">
        <f>IFERROR(__xludf.DUMMYFUNCTION("""COMPUTED_VALUE"""),"EMERGENCIAS ")</f>
        <v>EMERGENCIAS </v>
      </c>
      <c r="S15" s="2" t="str">
        <f>IFERROR(__xludf.DUMMYFUNCTION("""COMPUTED_VALUE"""),"EMERGENCIAS ")</f>
        <v>EMERGENCIAS </v>
      </c>
      <c r="T15" s="2" t="str">
        <f>IFERROR(__xludf.DUMMYFUNCTION("""COMPUTED_VALUE"""),"EMERGENCIAS ")</f>
        <v>EMERGENCIAS </v>
      </c>
      <c r="U15" s="2" t="str">
        <f>IFERROR(__xludf.DUMMYFUNCTION("""COMPUTED_VALUE"""),"EMERGENCIAS ")</f>
        <v>EMERGENCIAS </v>
      </c>
      <c r="V15" s="2" t="str">
        <f>IFERROR(__xludf.DUMMYFUNCTION("""COMPUTED_VALUE"""),"Puesta a tierra: jabalina+caja de inspección")</f>
        <v>Puesta a tierra: jabalina+caja de inspección</v>
      </c>
      <c r="W15" s="2" t="str">
        <f>IFERROR(__xludf.DUMMYFUNCTION("""COMPUTED_VALUE"""),"Puesta a tierra: jabalina+caja de inspección")</f>
        <v>Puesta a tierra: jabalina+caja de inspección</v>
      </c>
    </row>
    <row r="16">
      <c r="E16" s="2" t="str">
        <f>IFERROR(__xludf.DUMMYFUNCTION("""COMPUTED_VALUE"""),"MANTENIMIENTO DE TABLEROS ELÉCTRICOS E INSTALACIONES ELECTRICAS")</f>
        <v>MANTENIMIENTO DE TABLEROS ELÉCTRICOS E INSTALACIONES ELECTRICAS</v>
      </c>
      <c r="F16" s="2" t="str">
        <f>IFERROR(__xludf.DUMMYFUNCTION("""COMPUTED_VALUE"""),"MANTENIMIENTO DE TABLEROS ELÉCTRICOS E INSTALACIONES ELECTRICAS")</f>
        <v>MANTENIMIENTO DE TABLEROS ELÉCTRICOS E INSTALACIONES ELECTRICAS</v>
      </c>
      <c r="G16" s="2" t="str">
        <f>IFERROR(__xludf.DUMMYFUNCTION("""COMPUTED_VALUE"""),"MANTENIMIENTO DE TABLEROS ELÉCTRICOS E INSTALACIONES ELECTRICAS")</f>
        <v>MANTENIMIENTO DE TABLEROS ELÉCTRICOS E INSTALACIONES ELECTRICAS</v>
      </c>
      <c r="H16" s="2" t="str">
        <f>IFERROR(__xludf.DUMMYFUNCTION("""COMPUTED_VALUE"""),"MANTENIMIENTO DE TABLEROS ELÉCTRICOS E INSTALACIONES ELECTRICAS")</f>
        <v>MANTENIMIENTO DE TABLEROS ELÉCTRICOS E INSTALACIONES ELECTRICAS</v>
      </c>
      <c r="I16" s="2" t="str">
        <f>IFERROR(__xludf.DUMMYFUNCTION("""COMPUTED_VALUE"""),"MANTENIMIENTO DE TABLEROS ELÉCTRICOS E INSTALACIONES ELECTRICAS")</f>
        <v>MANTENIMIENTO DE TABLEROS ELÉCTRICOS E INSTALACIONES ELECTRICAS</v>
      </c>
      <c r="J16" s="2" t="str">
        <f>IFERROR(__xludf.DUMMYFUNCTION("""COMPUTED_VALUE"""),"MANTENIMIENTO DE TABLEROS ELÉCTRICOS E INSTALACIONES ELECTRICAS")</f>
        <v>MANTENIMIENTO DE TABLEROS ELÉCTRICOS E INSTALACIONES ELECTRICAS</v>
      </c>
      <c r="K16" s="2" t="str">
        <f>IFERROR(__xludf.DUMMYFUNCTION("""COMPUTED_VALUE"""),"MANTENIMIENTO DE TABLEROS ELÉCTRICOS E INSTALACIONES ELECTRICAS")</f>
        <v>MANTENIMIENTO DE TABLEROS ELÉCTRICOS E INSTALACIONES ELECTRICAS</v>
      </c>
      <c r="L16" s="2" t="str">
        <f>IFERROR(__xludf.DUMMYFUNCTION("""COMPUTED_VALUE"""),"MANTENIMIENTO DE TABLEROS ELÉCTRICOS E INSTALACIONES ELECTRICAS")</f>
        <v>MANTENIMIENTO DE TABLEROS ELÉCTRICOS E INSTALACIONES ELECTRICAS</v>
      </c>
      <c r="M16" s="2" t="str">
        <f>IFERROR(__xludf.DUMMYFUNCTION("""COMPUTED_VALUE"""),"MANTENIMIENTO DE TABLEROS ELÉCTRICOS E INSTALACIONES ELECTRICAS")</f>
        <v>MANTENIMIENTO DE TABLEROS ELÉCTRICOS E INSTALACIONES ELECTRICAS</v>
      </c>
      <c r="N16" s="2" t="str">
        <f>IFERROR(__xludf.DUMMYFUNCTION("""COMPUTED_VALUE"""),"MANTENIMIENTO DE TABLEROS ELÉCTRICOS E INSTALACIONES ELECTRICAS")</f>
        <v>MANTENIMIENTO DE TABLEROS ELÉCTRICOS E INSTALACIONES ELECTRICAS</v>
      </c>
      <c r="O16" s="2" t="str">
        <f>IFERROR(__xludf.DUMMYFUNCTION("""COMPUTED_VALUE"""),"MANTENIMIENTO DE TABLEROS ELÉCTRICOS E INSTALACIONES ELECTRICAS")</f>
        <v>MANTENIMIENTO DE TABLEROS ELÉCTRICOS E INSTALACIONES ELECTRICAS</v>
      </c>
      <c r="P16" s="2" t="str">
        <f>IFERROR(__xludf.DUMMYFUNCTION("""COMPUTED_VALUE"""),"MANTENIMIENTO DE TABLEROS ELÉCTRICOS E INSTALACIONES ELECTRICAS")</f>
        <v>MANTENIMIENTO DE TABLEROS ELÉCTRICOS E INSTALACIONES ELECTRICAS</v>
      </c>
      <c r="Q16" s="2" t="str">
        <f>IFERROR(__xludf.DUMMYFUNCTION("""COMPUTED_VALUE"""),"MANTENIMIENTO DE TABLEROS ELÉCTRICOS E INSTALACIONES ELECTRICAS")</f>
        <v>MANTENIMIENTO DE TABLEROS ELÉCTRICOS E INSTALACIONES ELECTRICAS</v>
      </c>
      <c r="R16" s="2" t="str">
        <f>IFERROR(__xludf.DUMMYFUNCTION("""COMPUTED_VALUE"""),"MANTENIMIENTO DE TABLEROS ELÉCTRICOS E INSTALACIONES ELECTRICAS")</f>
        <v>MANTENIMIENTO DE TABLEROS ELÉCTRICOS E INSTALACIONES ELECTRICAS</v>
      </c>
      <c r="S16" s="2" t="str">
        <f>IFERROR(__xludf.DUMMYFUNCTION("""COMPUTED_VALUE"""),"MANTENIMIENTO DE TABLEROS ELÉCTRICOS E INSTALACIONES ELECTRICAS")</f>
        <v>MANTENIMIENTO DE TABLEROS ELÉCTRICOS E INSTALACIONES ELECTRICAS</v>
      </c>
      <c r="T16" s="2" t="str">
        <f>IFERROR(__xludf.DUMMYFUNCTION("""COMPUTED_VALUE"""),"MANTENIMIENTO DE TABLEROS ELÉCTRICOS E INSTALACIONES ELECTRICAS")</f>
        <v>MANTENIMIENTO DE TABLEROS ELÉCTRICOS E INSTALACIONES ELECTRICAS</v>
      </c>
      <c r="U16" s="2" t="str">
        <f>IFERROR(__xludf.DUMMYFUNCTION("""COMPUTED_VALUE"""),"MANTENIMIENTO DE TABLEROS ELÉCTRICOS E INSTALACIONES ELECTRICAS")</f>
        <v>MANTENIMIENTO DE TABLEROS ELÉCTRICOS E INSTALACIONES ELECTRICAS</v>
      </c>
    </row>
    <row r="17">
      <c r="E17" s="2" t="str">
        <f>IFERROR(__xludf.DUMMYFUNCTION("""COMPUTED_VALUE"""),"VARIOS BAJA TENSIÓN ")</f>
        <v>VARIOS BAJA TENSIÓN </v>
      </c>
      <c r="F17" s="2" t="str">
        <f>IFERROR(__xludf.DUMMYFUNCTION("""COMPUTED_VALUE"""),"VARIOS BAJA TENSIÓN ")</f>
        <v>VARIOS BAJA TENSIÓN </v>
      </c>
      <c r="G17" s="2" t="str">
        <f>IFERROR(__xludf.DUMMYFUNCTION("""COMPUTED_VALUE"""),"VARIOS BAJA TENSIÓN ")</f>
        <v>VARIOS BAJA TENSIÓN </v>
      </c>
      <c r="H17" s="2" t="str">
        <f>IFERROR(__xludf.DUMMYFUNCTION("""COMPUTED_VALUE"""),"VARIOS BAJA TENSIÓN ")</f>
        <v>VARIOS BAJA TENSIÓN </v>
      </c>
      <c r="I17" s="2" t="str">
        <f>IFERROR(__xludf.DUMMYFUNCTION("""COMPUTED_VALUE"""),"VARIOS BAJA TENSIÓN ")</f>
        <v>VARIOS BAJA TENSIÓN </v>
      </c>
      <c r="J17" s="2" t="str">
        <f>IFERROR(__xludf.DUMMYFUNCTION("""COMPUTED_VALUE"""),"VARIOS BAJA TENSIÓN ")</f>
        <v>VARIOS BAJA TENSIÓN </v>
      </c>
      <c r="K17" s="2" t="str">
        <f>IFERROR(__xludf.DUMMYFUNCTION("""COMPUTED_VALUE"""),"VARIOS BAJA TENSIÓN ")</f>
        <v>VARIOS BAJA TENSIÓN </v>
      </c>
      <c r="L17" s="2" t="str">
        <f>IFERROR(__xludf.DUMMYFUNCTION("""COMPUTED_VALUE"""),"VARIOS BAJA TENSIÓN ")</f>
        <v>VARIOS BAJA TENSIÓN </v>
      </c>
      <c r="M17" s="2" t="str">
        <f>IFERROR(__xludf.DUMMYFUNCTION("""COMPUTED_VALUE"""),"VARIOS BAJA TENSIÓN ")</f>
        <v>VARIOS BAJA TENSIÓN </v>
      </c>
      <c r="N17" s="2" t="str">
        <f>IFERROR(__xludf.DUMMYFUNCTION("""COMPUTED_VALUE"""),"VARIOS BAJA TENSIÓN ")</f>
        <v>VARIOS BAJA TENSIÓN </v>
      </c>
      <c r="O17" s="2" t="str">
        <f>IFERROR(__xludf.DUMMYFUNCTION("""COMPUTED_VALUE"""),"VARIOS BAJA TENSIÓN ")</f>
        <v>VARIOS BAJA TENSIÓN </v>
      </c>
      <c r="P17" s="2" t="str">
        <f>IFERROR(__xludf.DUMMYFUNCTION("""COMPUTED_VALUE"""),"VARIOS BAJA TENSIÓN ")</f>
        <v>VARIOS BAJA TENSIÓN </v>
      </c>
      <c r="Q17" s="2" t="str">
        <f>IFERROR(__xludf.DUMMYFUNCTION("""COMPUTED_VALUE"""),"VARIOS BAJA TENSIÓN ")</f>
        <v>VARIOS BAJA TENSIÓN </v>
      </c>
      <c r="R17" s="2" t="str">
        <f>IFERROR(__xludf.DUMMYFUNCTION("""COMPUTED_VALUE"""),"VARIOS BAJA TENSIÓN ")</f>
        <v>VARIOS BAJA TENSIÓN </v>
      </c>
      <c r="S17" s="2" t="str">
        <f>IFERROR(__xludf.DUMMYFUNCTION("""COMPUTED_VALUE"""),"VARIOS BAJA TENSIÓN ")</f>
        <v>VARIOS BAJA TENSIÓN </v>
      </c>
      <c r="T17" s="2" t="str">
        <f>IFERROR(__xludf.DUMMYFUNCTION("""COMPUTED_VALUE"""),"VARIOS BAJA TENSIÓN ")</f>
        <v>VARIOS BAJA TENSIÓN </v>
      </c>
      <c r="U17" s="2" t="str">
        <f>IFERROR(__xludf.DUMMYFUNCTION("""COMPUTED_VALUE"""),"VARIOS BAJA TENSIÓN ")</f>
        <v>VARIOS BAJA TENSIÓN </v>
      </c>
    </row>
    <row r="18">
      <c r="E18" s="2" t="str">
        <f>IFERROR(__xludf.DUMMYFUNCTION("""COMPUTED_VALUE"""),"COLOCACIÓN DE PORTERO ELÉCTRICO UNIFAMILIAR")</f>
        <v>COLOCACIÓN DE PORTERO ELÉCTRICO UNIFAMILIAR</v>
      </c>
      <c r="F18" s="2" t="str">
        <f>IFERROR(__xludf.DUMMYFUNCTION("""COMPUTED_VALUE"""),"COLOCACIÓN DE PORTERO ELÉCTRICO UNIFAMILIAR")</f>
        <v>COLOCACIÓN DE PORTERO ELÉCTRICO UNIFAMILIAR</v>
      </c>
      <c r="G18" s="2" t="str">
        <f>IFERROR(__xludf.DUMMYFUNCTION("""COMPUTED_VALUE"""),"COLOCACIÓN DE PORTERO ELÉCTRICO UNIFAMILIAR")</f>
        <v>COLOCACIÓN DE PORTERO ELÉCTRICO UNIFAMILIAR</v>
      </c>
      <c r="H18" s="2" t="str">
        <f>IFERROR(__xludf.DUMMYFUNCTION("""COMPUTED_VALUE"""),"COLOCACIÓN DE PORTERO ELÉCTRICO UNIFAMILIAR")</f>
        <v>COLOCACIÓN DE PORTERO ELÉCTRICO UNIFAMILIAR</v>
      </c>
      <c r="I18" s="2" t="str">
        <f>IFERROR(__xludf.DUMMYFUNCTION("""COMPUTED_VALUE"""),"COLOCACIÓN DE PORTERO ELÉCTRICO UNIFAMILIAR")</f>
        <v>COLOCACIÓN DE PORTERO ELÉCTRICO UNIFAMILIAR</v>
      </c>
      <c r="J18" s="2" t="str">
        <f>IFERROR(__xludf.DUMMYFUNCTION("""COMPUTED_VALUE"""),"COLOCACIÓN DE PORTERO ELÉCTRICO UNIFAMILIAR")</f>
        <v>COLOCACIÓN DE PORTERO ELÉCTRICO UNIFAMILIAR</v>
      </c>
      <c r="K18" s="2" t="str">
        <f>IFERROR(__xludf.DUMMYFUNCTION("""COMPUTED_VALUE"""),"COLOCACIÓN DE PORTERO ELÉCTRICO UNIFAMILIAR")</f>
        <v>COLOCACIÓN DE PORTERO ELÉCTRICO UNIFAMILIAR</v>
      </c>
      <c r="L18" s="2" t="str">
        <f>IFERROR(__xludf.DUMMYFUNCTION("""COMPUTED_VALUE"""),"COLOCACIÓN DE PORTERO ELÉCTRICO UNIFAMILIAR")</f>
        <v>COLOCACIÓN DE PORTERO ELÉCTRICO UNIFAMILIAR</v>
      </c>
      <c r="M18" s="2" t="str">
        <f>IFERROR(__xludf.DUMMYFUNCTION("""COMPUTED_VALUE"""),"COLOCACIÓN DE PORTERO ELÉCTRICO UNIFAMILIAR")</f>
        <v>COLOCACIÓN DE PORTERO ELÉCTRICO UNIFAMILIAR</v>
      </c>
      <c r="N18" s="2" t="str">
        <f>IFERROR(__xludf.DUMMYFUNCTION("""COMPUTED_VALUE"""),"COLOCACIÓN DE PORTERO ELÉCTRICO UNIFAMILIAR")</f>
        <v>COLOCACIÓN DE PORTERO ELÉCTRICO UNIFAMILIAR</v>
      </c>
      <c r="O18" s="2" t="str">
        <f>IFERROR(__xludf.DUMMYFUNCTION("""COMPUTED_VALUE"""),"COLOCACIÓN DE PORTERO ELÉCTRICO UNIFAMILIAR")</f>
        <v>COLOCACIÓN DE PORTERO ELÉCTRICO UNIFAMILIAR</v>
      </c>
      <c r="P18" s="2" t="str">
        <f>IFERROR(__xludf.DUMMYFUNCTION("""COMPUTED_VALUE"""),"COLOCACIÓN DE PORTERO ELÉCTRICO UNIFAMILIAR")</f>
        <v>COLOCACIÓN DE PORTERO ELÉCTRICO UNIFAMILIAR</v>
      </c>
      <c r="Q18" s="2" t="str">
        <f>IFERROR(__xludf.DUMMYFUNCTION("""COMPUTED_VALUE"""),"COLOCACIÓN DE PORTERO ELÉCTRICO UNIFAMILIAR")</f>
        <v>COLOCACIÓN DE PORTERO ELÉCTRICO UNIFAMILIAR</v>
      </c>
      <c r="R18" s="2" t="str">
        <f>IFERROR(__xludf.DUMMYFUNCTION("""COMPUTED_VALUE"""),"COLOCACIÓN DE PORTERO ELÉCTRICO UNIFAMILIAR")</f>
        <v>COLOCACIÓN DE PORTERO ELÉCTRICO UNIFAMILIAR</v>
      </c>
      <c r="S18" s="2" t="str">
        <f>IFERROR(__xludf.DUMMYFUNCTION("""COMPUTED_VALUE"""),"COLOCACIÓN DE PORTERO ELÉCTRICO UNIFAMILIAR")</f>
        <v>COLOCACIÓN DE PORTERO ELÉCTRICO UNIFAMILIAR</v>
      </c>
      <c r="T18" s="2" t="str">
        <f>IFERROR(__xludf.DUMMYFUNCTION("""COMPUTED_VALUE"""),"COLOCACIÓN DE PORTERO ELÉCTRICO UNIFAMILIAR")</f>
        <v>COLOCACIÓN DE PORTERO ELÉCTRICO UNIFAMILIAR</v>
      </c>
      <c r="U18" s="2" t="str">
        <f>IFERROR(__xludf.DUMMYFUNCTION("""COMPUTED_VALUE"""),"COLOCACIÓN DE PORTERO ELÉCTRICO UNIFAMILIAR")</f>
        <v>COLOCACIÓN DE PORTERO ELÉCTRICO UNIFAMILIAR</v>
      </c>
    </row>
    <row r="19">
      <c r="E19" s="2" t="str">
        <f>IFERROR(__xludf.DUMMYFUNCTION("""COMPUTED_VALUE"""),"COLOCACIÓN DE PORTERO ELÉCTRICO EN EDIFICIO (AUDIO SOLO) MULTIFAMILIAR")</f>
        <v>COLOCACIÓN DE PORTERO ELÉCTRICO EN EDIFICIO (AUDIO SOLO) MULTIFAMILIAR</v>
      </c>
      <c r="F19" s="2" t="str">
        <f>IFERROR(__xludf.DUMMYFUNCTION("""COMPUTED_VALUE"""),"COLOCACIÓN DE PORTERO ELÉCTRICO EN EDIFICIO (AUDIO SOLO) MULTIFAMILIAR")</f>
        <v>COLOCACIÓN DE PORTERO ELÉCTRICO EN EDIFICIO (AUDIO SOLO) MULTIFAMILIAR</v>
      </c>
      <c r="G19" s="2" t="str">
        <f>IFERROR(__xludf.DUMMYFUNCTION("""COMPUTED_VALUE"""),"COLOCACIÓN DE PORTERO ELÉCTRICO EN EDIFICIO (AUDIO SOLO) MULTIFAMILIAR")</f>
        <v>COLOCACIÓN DE PORTERO ELÉCTRICO EN EDIFICIO (AUDIO SOLO) MULTIFAMILIAR</v>
      </c>
      <c r="H19" s="2" t="str">
        <f>IFERROR(__xludf.DUMMYFUNCTION("""COMPUTED_VALUE"""),"COLOCACIÓN DE PORTERO ELÉCTRICO EN EDIFICIO (AUDIO SOLO) MULTIFAMILIAR")</f>
        <v>COLOCACIÓN DE PORTERO ELÉCTRICO EN EDIFICIO (AUDIO SOLO) MULTIFAMILIAR</v>
      </c>
      <c r="I19" s="2" t="str">
        <f>IFERROR(__xludf.DUMMYFUNCTION("""COMPUTED_VALUE"""),"COLOCACIÓN DE PORTERO ELÉCTRICO EN EDIFICIO (AUDIO SOLO) MULTIFAMILIAR")</f>
        <v>COLOCACIÓN DE PORTERO ELÉCTRICO EN EDIFICIO (AUDIO SOLO) MULTIFAMILIAR</v>
      </c>
      <c r="J19" s="2" t="str">
        <f>IFERROR(__xludf.DUMMYFUNCTION("""COMPUTED_VALUE"""),"COLOCACIÓN DE PORTERO ELÉCTRICO EN EDIFICIO (AUDIO SOLO) MULTIFAMILIAR")</f>
        <v>COLOCACIÓN DE PORTERO ELÉCTRICO EN EDIFICIO (AUDIO SOLO) MULTIFAMILIAR</v>
      </c>
      <c r="K19" s="2" t="str">
        <f>IFERROR(__xludf.DUMMYFUNCTION("""COMPUTED_VALUE"""),"COLOCACIÓN DE PORTERO ELÉCTRICO EN EDIFICIO (AUDIO SOLO) MULTIFAMILIAR")</f>
        <v>COLOCACIÓN DE PORTERO ELÉCTRICO EN EDIFICIO (AUDIO SOLO) MULTIFAMILIAR</v>
      </c>
      <c r="L19" s="2" t="str">
        <f>IFERROR(__xludf.DUMMYFUNCTION("""COMPUTED_VALUE"""),"COLOCACIÓN DE PORTERO ELÉCTRICO EN EDIFICIO (AUDIO SOLO) MULTIFAMILIAR")</f>
        <v>COLOCACIÓN DE PORTERO ELÉCTRICO EN EDIFICIO (AUDIO SOLO) MULTIFAMILIAR</v>
      </c>
      <c r="M19" s="2" t="str">
        <f>IFERROR(__xludf.DUMMYFUNCTION("""COMPUTED_VALUE"""),"COLOCACIÓN DE PORTERO ELÉCTRICO EN EDIFICIO (AUDIO SOLO) MULTIFAMILIAR")</f>
        <v>COLOCACIÓN DE PORTERO ELÉCTRICO EN EDIFICIO (AUDIO SOLO) MULTIFAMILIAR</v>
      </c>
      <c r="N19" s="2" t="str">
        <f>IFERROR(__xludf.DUMMYFUNCTION("""COMPUTED_VALUE"""),"COLOCACIÓN DE PORTERO ELÉCTRICO EN EDIFICIO (AUDIO SOLO) MULTIFAMILIAR")</f>
        <v>COLOCACIÓN DE PORTERO ELÉCTRICO EN EDIFICIO (AUDIO SOLO) MULTIFAMILIAR</v>
      </c>
      <c r="O19" s="2" t="str">
        <f>IFERROR(__xludf.DUMMYFUNCTION("""COMPUTED_VALUE"""),"COLOCACIÓN DE PORTERO ELÉCTRICO EN EDIFICIO (AUDIO SOLO) MULTIFAMILIAR")</f>
        <v>COLOCACIÓN DE PORTERO ELÉCTRICO EN EDIFICIO (AUDIO SOLO) MULTIFAMILIAR</v>
      </c>
      <c r="P19" s="2" t="str">
        <f>IFERROR(__xludf.DUMMYFUNCTION("""COMPUTED_VALUE"""),"COLOCACIÓN DE PORTERO ELÉCTRICO EN EDIFICIO (AUDIO SOLO) MULTIFAMILIAR")</f>
        <v>COLOCACIÓN DE PORTERO ELÉCTRICO EN EDIFICIO (AUDIO SOLO) MULTIFAMILIAR</v>
      </c>
      <c r="Q19" s="2" t="str">
        <f>IFERROR(__xludf.DUMMYFUNCTION("""COMPUTED_VALUE"""),"COLOCACIÓN DE PORTERO ELÉCTRICO EN EDIFICIO (AUDIO SOLO) MULTIFAMILIAR")</f>
        <v>COLOCACIÓN DE PORTERO ELÉCTRICO EN EDIFICIO (AUDIO SOLO) MULTIFAMILIAR</v>
      </c>
      <c r="R19" s="2" t="str">
        <f>IFERROR(__xludf.DUMMYFUNCTION("""COMPUTED_VALUE"""),"COLOCACIÓN DE PORTERO ELÉCTRICO EN EDIFICIO (AUDIO SOLO) MULTIFAMILIAR")</f>
        <v>COLOCACIÓN DE PORTERO ELÉCTRICO EN EDIFICIO (AUDIO SOLO) MULTIFAMILIAR</v>
      </c>
      <c r="S19" s="2" t="str">
        <f>IFERROR(__xludf.DUMMYFUNCTION("""COMPUTED_VALUE"""),"COLOCACIÓN DE PORTERO ELÉCTRICO EN EDIFICIO (AUDIO SOLO) MULTIFAMILIAR")</f>
        <v>COLOCACIÓN DE PORTERO ELÉCTRICO EN EDIFICIO (AUDIO SOLO) MULTIFAMILIAR</v>
      </c>
      <c r="T19" s="2" t="str">
        <f>IFERROR(__xludf.DUMMYFUNCTION("""COMPUTED_VALUE"""),"COLOCACIÓN DE PORTERO ELÉCTRICO EN EDIFICIO (AUDIO SOLO) MULTIFAMILIAR")</f>
        <v>COLOCACIÓN DE PORTERO ELÉCTRICO EN EDIFICIO (AUDIO SOLO) MULTIFAMILIAR</v>
      </c>
      <c r="U19" s="2" t="str">
        <f>IFERROR(__xludf.DUMMYFUNCTION("""COMPUTED_VALUE"""),"COLOCACIÓN DE PORTERO ELÉCTRICO EN EDIFICIO (AUDIO SOLO) MULTIFAMILIAR")</f>
        <v>COLOCACIÓN DE PORTERO ELÉCTRICO EN EDIFICIO (AUDIO SOLO) MULTIFAMILIAR</v>
      </c>
    </row>
    <row r="20">
      <c r="E20" s="2" t="str">
        <f>IFERROR(__xludf.DUMMYFUNCTION("""COMPUTED_VALUE"""),"SISTEMAS DE SEGURIDAD")</f>
        <v>SISTEMAS DE SEGURIDAD</v>
      </c>
      <c r="F20" s="2" t="str">
        <f>IFERROR(__xludf.DUMMYFUNCTION("""COMPUTED_VALUE"""),"SISTEMAS DE SEGURIDAD")</f>
        <v>SISTEMAS DE SEGURIDAD</v>
      </c>
      <c r="G20" s="2" t="str">
        <f>IFERROR(__xludf.DUMMYFUNCTION("""COMPUTED_VALUE"""),"SISTEMAS DE SEGURIDAD")</f>
        <v>SISTEMAS DE SEGURIDAD</v>
      </c>
      <c r="H20" s="2" t="str">
        <f>IFERROR(__xludf.DUMMYFUNCTION("""COMPUTED_VALUE"""),"SISTEMAS DE SEGURIDAD")</f>
        <v>SISTEMAS DE SEGURIDAD</v>
      </c>
      <c r="I20" s="2" t="str">
        <f>IFERROR(__xludf.DUMMYFUNCTION("""COMPUTED_VALUE"""),"SISTEMAS DE SEGURIDAD")</f>
        <v>SISTEMAS DE SEGURIDAD</v>
      </c>
      <c r="J20" s="2" t="str">
        <f>IFERROR(__xludf.DUMMYFUNCTION("""COMPUTED_VALUE"""),"SISTEMAS DE SEGURIDAD")</f>
        <v>SISTEMAS DE SEGURIDAD</v>
      </c>
      <c r="K20" s="2" t="str">
        <f>IFERROR(__xludf.DUMMYFUNCTION("""COMPUTED_VALUE"""),"SISTEMAS DE SEGURIDAD")</f>
        <v>SISTEMAS DE SEGURIDAD</v>
      </c>
      <c r="L20" s="2" t="str">
        <f>IFERROR(__xludf.DUMMYFUNCTION("""COMPUTED_VALUE"""),"SISTEMAS DE SEGURIDAD")</f>
        <v>SISTEMAS DE SEGURIDAD</v>
      </c>
      <c r="M20" s="2" t="str">
        <f>IFERROR(__xludf.DUMMYFUNCTION("""COMPUTED_VALUE"""),"SISTEMAS DE SEGURIDAD")</f>
        <v>SISTEMAS DE SEGURIDAD</v>
      </c>
      <c r="N20" s="2" t="str">
        <f>IFERROR(__xludf.DUMMYFUNCTION("""COMPUTED_VALUE"""),"SISTEMAS DE SEGURIDAD")</f>
        <v>SISTEMAS DE SEGURIDAD</v>
      </c>
      <c r="O20" s="2" t="str">
        <f>IFERROR(__xludf.DUMMYFUNCTION("""COMPUTED_VALUE"""),"SISTEMAS DE SEGURIDAD")</f>
        <v>SISTEMAS DE SEGURIDAD</v>
      </c>
      <c r="P20" s="2" t="str">
        <f>IFERROR(__xludf.DUMMYFUNCTION("""COMPUTED_VALUE"""),"SISTEMAS DE SEGURIDAD")</f>
        <v>SISTEMAS DE SEGURIDAD</v>
      </c>
      <c r="Q20" s="2" t="str">
        <f>IFERROR(__xludf.DUMMYFUNCTION("""COMPUTED_VALUE"""),"SISTEMAS DE SEGURIDAD")</f>
        <v>SISTEMAS DE SEGURIDAD</v>
      </c>
      <c r="R20" s="2" t="str">
        <f>IFERROR(__xludf.DUMMYFUNCTION("""COMPUTED_VALUE"""),"SISTEMAS DE SEGURIDAD")</f>
        <v>SISTEMAS DE SEGURIDAD</v>
      </c>
      <c r="S20" s="2" t="str">
        <f>IFERROR(__xludf.DUMMYFUNCTION("""COMPUTED_VALUE"""),"SISTEMAS DE SEGURIDAD")</f>
        <v>SISTEMAS DE SEGURIDAD</v>
      </c>
      <c r="T20" s="2" t="str">
        <f>IFERROR(__xludf.DUMMYFUNCTION("""COMPUTED_VALUE"""),"SISTEMAS DE SEGURIDAD")</f>
        <v>SISTEMAS DE SEGURIDAD</v>
      </c>
      <c r="U20" s="2" t="str">
        <f>IFERROR(__xludf.DUMMYFUNCTION("""COMPUTED_VALUE"""),"SISTEMAS DE SEGURIDAD")</f>
        <v>SISTEMAS DE SEGURIDAD</v>
      </c>
    </row>
    <row r="21">
      <c r="E21" s="2" t="str">
        <f>IFERROR(__xludf.DUMMYFUNCTION("""COMPUTED_VALUE"""),"VARIOS CORRIENTES DÉBILES ")</f>
        <v>VARIOS CORRIENTES DÉBILES </v>
      </c>
      <c r="F21" s="2" t="str">
        <f>IFERROR(__xludf.DUMMYFUNCTION("""COMPUTED_VALUE"""),"VARIOS CORRIENTES DÉBILES ")</f>
        <v>VARIOS CORRIENTES DÉBILES </v>
      </c>
      <c r="G21" s="2" t="str">
        <f>IFERROR(__xludf.DUMMYFUNCTION("""COMPUTED_VALUE"""),"VARIOS CORRIENTES DÉBILES ")</f>
        <v>VARIOS CORRIENTES DÉBILES </v>
      </c>
      <c r="H21" s="2" t="str">
        <f>IFERROR(__xludf.DUMMYFUNCTION("""COMPUTED_VALUE"""),"VARIOS CORRIENTES DÉBILES ")</f>
        <v>VARIOS CORRIENTES DÉBILES </v>
      </c>
      <c r="I21" s="2" t="str">
        <f>IFERROR(__xludf.DUMMYFUNCTION("""COMPUTED_VALUE"""),"VARIOS CORRIENTES DÉBILES ")</f>
        <v>VARIOS CORRIENTES DÉBILES </v>
      </c>
      <c r="J21" s="2" t="str">
        <f>IFERROR(__xludf.DUMMYFUNCTION("""COMPUTED_VALUE"""),"VARIOS CORRIENTES DÉBILES ")</f>
        <v>VARIOS CORRIENTES DÉBILES </v>
      </c>
      <c r="K21" s="2" t="str">
        <f>IFERROR(__xludf.DUMMYFUNCTION("""COMPUTED_VALUE"""),"VARIOS CORRIENTES DÉBILES ")</f>
        <v>VARIOS CORRIENTES DÉBILES </v>
      </c>
      <c r="L21" s="2" t="str">
        <f>IFERROR(__xludf.DUMMYFUNCTION("""COMPUTED_VALUE"""),"VARIOS CORRIENTES DÉBILES ")</f>
        <v>VARIOS CORRIENTES DÉBILES </v>
      </c>
      <c r="M21" s="2" t="str">
        <f>IFERROR(__xludf.DUMMYFUNCTION("""COMPUTED_VALUE"""),"VARIOS CORRIENTES DÉBILES ")</f>
        <v>VARIOS CORRIENTES DÉBILES </v>
      </c>
      <c r="N21" s="2" t="str">
        <f>IFERROR(__xludf.DUMMYFUNCTION("""COMPUTED_VALUE"""),"VARIOS CORRIENTES DÉBILES ")</f>
        <v>VARIOS CORRIENTES DÉBILES </v>
      </c>
      <c r="O21" s="2" t="str">
        <f>IFERROR(__xludf.DUMMYFUNCTION("""COMPUTED_VALUE"""),"VARIOS CORRIENTES DÉBILES ")</f>
        <v>VARIOS CORRIENTES DÉBILES </v>
      </c>
      <c r="P21" s="2" t="str">
        <f>IFERROR(__xludf.DUMMYFUNCTION("""COMPUTED_VALUE"""),"VARIOS CORRIENTES DÉBILES ")</f>
        <v>VARIOS CORRIENTES DÉBILES </v>
      </c>
      <c r="Q21" s="2" t="str">
        <f>IFERROR(__xludf.DUMMYFUNCTION("""COMPUTED_VALUE"""),"VARIOS CORRIENTES DÉBILES ")</f>
        <v>VARIOS CORRIENTES DÉBILES </v>
      </c>
      <c r="R21" s="2" t="str">
        <f>IFERROR(__xludf.DUMMYFUNCTION("""COMPUTED_VALUE"""),"VARIOS CORRIENTES DÉBILES ")</f>
        <v>VARIOS CORRIENTES DÉBILES </v>
      </c>
      <c r="S21" s="2" t="str">
        <f>IFERROR(__xludf.DUMMYFUNCTION("""COMPUTED_VALUE"""),"VARIOS CORRIENTES DÉBILES ")</f>
        <v>VARIOS CORRIENTES DÉBILES </v>
      </c>
      <c r="T21" s="2" t="str">
        <f>IFERROR(__xludf.DUMMYFUNCTION("""COMPUTED_VALUE"""),"VARIOS CORRIENTES DÉBILES ")</f>
        <v>VARIOS CORRIENTES DÉBILES </v>
      </c>
      <c r="U21" s="2" t="str">
        <f>IFERROR(__xludf.DUMMYFUNCTION("""COMPUTED_VALUE"""),"VARIOS CORRIENTES DÉBILES ")</f>
        <v>VARIOS CORRIENTES DÉBILES </v>
      </c>
    </row>
    <row r="22">
      <c r="E22" s="2" t="str">
        <f>IFERROR(__xludf.DUMMYFUNCTION("""COMPUTED_VALUE"""),"COMPUESTO DE INSTALACONES EMBUTIDAS")</f>
        <v>COMPUESTO DE INSTALACONES EMBUTIDAS</v>
      </c>
      <c r="F22" s="2" t="str">
        <f>IFERROR(__xludf.DUMMYFUNCTION("""COMPUTED_VALUE"""),"COMPUESTO DE INSTALACONES EMBUTIDAS")</f>
        <v>COMPUESTO DE INSTALACONES EMBUTIDAS</v>
      </c>
      <c r="G22" s="2" t="str">
        <f>IFERROR(__xludf.DUMMYFUNCTION("""COMPUTED_VALUE"""),"COMPUESTO DE INSTALACONES EMBUTIDAS")</f>
        <v>COMPUESTO DE INSTALACONES EMBUTIDAS</v>
      </c>
      <c r="H22" s="2" t="str">
        <f>IFERROR(__xludf.DUMMYFUNCTION("""COMPUTED_VALUE"""),"COMPUESTO DE INSTALACONES EMBUTIDAS")</f>
        <v>COMPUESTO DE INSTALACONES EMBUTIDAS</v>
      </c>
      <c r="I22" s="2" t="str">
        <f>IFERROR(__xludf.DUMMYFUNCTION("""COMPUTED_VALUE"""),"COMPUESTO DE INSTALACONES EMBUTIDAS")</f>
        <v>COMPUESTO DE INSTALACONES EMBUTIDAS</v>
      </c>
      <c r="J22" s="2" t="str">
        <f>IFERROR(__xludf.DUMMYFUNCTION("""COMPUTED_VALUE"""),"COMPUESTO DE INSTALACONES EMBUTIDAS")</f>
        <v>COMPUESTO DE INSTALACONES EMBUTIDAS</v>
      </c>
      <c r="K22" s="2" t="str">
        <f>IFERROR(__xludf.DUMMYFUNCTION("""COMPUTED_VALUE"""),"COMPUESTO DE INSTALACONES EMBUTIDAS")</f>
        <v>COMPUESTO DE INSTALACONES EMBUTIDAS</v>
      </c>
      <c r="L22" s="2" t="str">
        <f>IFERROR(__xludf.DUMMYFUNCTION("""COMPUTED_VALUE"""),"COMPUESTO DE INSTALACONES EMBUTIDAS")</f>
        <v>COMPUESTO DE INSTALACONES EMBUTIDAS</v>
      </c>
      <c r="M22" s="2" t="str">
        <f>IFERROR(__xludf.DUMMYFUNCTION("""COMPUTED_VALUE"""),"COMPUESTO DE INSTALACONES EMBUTIDAS")</f>
        <v>COMPUESTO DE INSTALACONES EMBUTIDAS</v>
      </c>
      <c r="N22" s="2" t="str">
        <f>IFERROR(__xludf.DUMMYFUNCTION("""COMPUTED_VALUE"""),"COMPUESTO DE INSTALACONES EMBUTIDAS")</f>
        <v>COMPUESTO DE INSTALACONES EMBUTIDAS</v>
      </c>
      <c r="O22" s="2" t="str">
        <f>IFERROR(__xludf.DUMMYFUNCTION("""COMPUTED_VALUE"""),"COMPUESTO DE INSTALACONES EMBUTIDAS")</f>
        <v>COMPUESTO DE INSTALACONES EMBUTIDAS</v>
      </c>
      <c r="P22" s="2" t="str">
        <f>IFERROR(__xludf.DUMMYFUNCTION("""COMPUTED_VALUE"""),"COMPUESTO DE INSTALACONES EMBUTIDAS")</f>
        <v>COMPUESTO DE INSTALACONES EMBUTIDAS</v>
      </c>
      <c r="Q22" s="2" t="str">
        <f>IFERROR(__xludf.DUMMYFUNCTION("""COMPUTED_VALUE"""),"COMPUESTO DE INSTALACONES EMBUTIDAS")</f>
        <v>COMPUESTO DE INSTALACONES EMBUTIDAS</v>
      </c>
      <c r="R22" s="2" t="str">
        <f>IFERROR(__xludf.DUMMYFUNCTION("""COMPUTED_VALUE"""),"COMPUESTO DE INSTALACONES EMBUTIDAS")</f>
        <v>COMPUESTO DE INSTALACONES EMBUTIDAS</v>
      </c>
      <c r="S22" s="2" t="str">
        <f>IFERROR(__xludf.DUMMYFUNCTION("""COMPUTED_VALUE"""),"COMPUESTO DE INSTALACONES EMBUTIDAS")</f>
        <v>COMPUESTO DE INSTALACONES EMBUTIDAS</v>
      </c>
      <c r="T22" s="2" t="str">
        <f>IFERROR(__xludf.DUMMYFUNCTION("""COMPUTED_VALUE"""),"COMPUESTO DE INSTALACONES EMBUTIDAS")</f>
        <v>COMPUESTO DE INSTALACONES EMBUTIDAS</v>
      </c>
      <c r="U22" s="2" t="str">
        <f>IFERROR(__xludf.DUMMYFUNCTION("""COMPUTED_VALUE"""),"COMPUESTO DE INSTALACONES EMBUTIDAS")</f>
        <v>COMPUESTO DE INSTALACONES EMBUTIDAS</v>
      </c>
    </row>
    <row r="23">
      <c r="E23" s="2" t="str">
        <f>IFERROR(__xludf.DUMMYFUNCTION("""COMPUTED_VALUE"""),"COMPUESTO DE CANALIZACIÓN EXTERIOR ")</f>
        <v>COMPUESTO DE CANALIZACIÓN EXTERIOR </v>
      </c>
      <c r="F23" s="2" t="str">
        <f>IFERROR(__xludf.DUMMYFUNCTION("""COMPUTED_VALUE"""),"COMPUESTO DE CANALIZACIÓN EXTERIOR ")</f>
        <v>COMPUESTO DE CANALIZACIÓN EXTERIOR </v>
      </c>
      <c r="G23" s="2" t="str">
        <f>IFERROR(__xludf.DUMMYFUNCTION("""COMPUTED_VALUE"""),"COMPUESTO DE CANALIZACIÓN EXTERIOR ")</f>
        <v>COMPUESTO DE CANALIZACIÓN EXTERIOR </v>
      </c>
      <c r="H23" s="2" t="str">
        <f>IFERROR(__xludf.DUMMYFUNCTION("""COMPUTED_VALUE"""),"COMPUESTO DE CANALIZACIÓN EXTERIOR ")</f>
        <v>COMPUESTO DE CANALIZACIÓN EXTERIOR </v>
      </c>
      <c r="I23" s="2" t="str">
        <f>IFERROR(__xludf.DUMMYFUNCTION("""COMPUTED_VALUE"""),"COMPUESTO DE CANALIZACIÓN EXTERIOR ")</f>
        <v>COMPUESTO DE CANALIZACIÓN EXTERIOR </v>
      </c>
      <c r="J23" s="2" t="str">
        <f>IFERROR(__xludf.DUMMYFUNCTION("""COMPUTED_VALUE"""),"COMPUESTO DE CANALIZACIÓN EXTERIOR ")</f>
        <v>COMPUESTO DE CANALIZACIÓN EXTERIOR </v>
      </c>
      <c r="K23" s="2" t="str">
        <f>IFERROR(__xludf.DUMMYFUNCTION("""COMPUTED_VALUE"""),"COMPUESTO DE CANALIZACIÓN EXTERIOR ")</f>
        <v>COMPUESTO DE CANALIZACIÓN EXTERIOR </v>
      </c>
      <c r="L23" s="2" t="str">
        <f>IFERROR(__xludf.DUMMYFUNCTION("""COMPUTED_VALUE"""),"COMPUESTO DE CANALIZACIÓN EXTERIOR ")</f>
        <v>COMPUESTO DE CANALIZACIÓN EXTERIOR </v>
      </c>
      <c r="M23" s="2" t="str">
        <f>IFERROR(__xludf.DUMMYFUNCTION("""COMPUTED_VALUE"""),"COMPUESTO DE CANALIZACIÓN EXTERIOR ")</f>
        <v>COMPUESTO DE CANALIZACIÓN EXTERIOR </v>
      </c>
      <c r="N23" s="2" t="str">
        <f>IFERROR(__xludf.DUMMYFUNCTION("""COMPUTED_VALUE"""),"COMPUESTO DE CANALIZACIÓN EXTERIOR ")</f>
        <v>COMPUESTO DE CANALIZACIÓN EXTERIOR </v>
      </c>
      <c r="O23" s="2" t="str">
        <f>IFERROR(__xludf.DUMMYFUNCTION("""COMPUTED_VALUE"""),"COMPUESTO DE CANALIZACIÓN EXTERIOR ")</f>
        <v>COMPUESTO DE CANALIZACIÓN EXTERIOR </v>
      </c>
      <c r="P23" s="2" t="str">
        <f>IFERROR(__xludf.DUMMYFUNCTION("""COMPUTED_VALUE"""),"COMPUESTO DE CANALIZACIÓN EXTERIOR ")</f>
        <v>COMPUESTO DE CANALIZACIÓN EXTERIOR </v>
      </c>
      <c r="Q23" s="2" t="str">
        <f>IFERROR(__xludf.DUMMYFUNCTION("""COMPUTED_VALUE"""),"COMPUESTO DE CANALIZACIÓN EXTERIOR ")</f>
        <v>COMPUESTO DE CANALIZACIÓN EXTERIOR </v>
      </c>
      <c r="R23" s="2" t="str">
        <f>IFERROR(__xludf.DUMMYFUNCTION("""COMPUTED_VALUE"""),"COMPUESTO DE CANALIZACIÓN EXTERIOR ")</f>
        <v>COMPUESTO DE CANALIZACIÓN EXTERIOR </v>
      </c>
      <c r="S23" s="2" t="str">
        <f>IFERROR(__xludf.DUMMYFUNCTION("""COMPUTED_VALUE"""),"COMPUESTO DE CANALIZACIÓN EXTERIOR ")</f>
        <v>COMPUESTO DE CANALIZACIÓN EXTERIOR </v>
      </c>
      <c r="T23" s="2" t="str">
        <f>IFERROR(__xludf.DUMMYFUNCTION("""COMPUTED_VALUE"""),"COMPUESTO DE CANALIZACIÓN EXTERIOR ")</f>
        <v>COMPUESTO DE CANALIZACIÓN EXTERIOR </v>
      </c>
      <c r="U23" s="2" t="str">
        <f>IFERROR(__xludf.DUMMYFUNCTION("""COMPUTED_VALUE"""),"COMPUESTO DE CANALIZACIÓN EXTERIOR ")</f>
        <v>COMPUESTO DE CANALIZACIÓN EXTERIOR </v>
      </c>
    </row>
    <row r="24">
      <c r="E24" s="2" t="str">
        <f>IFERROR(__xludf.DUMMYFUNCTION("""COMPUTED_VALUE"""),"COMPUESTO DE INSTALACIONES CON CABLE CANAL")</f>
        <v>COMPUESTO DE INSTALACIONES CON CABLE CANAL</v>
      </c>
      <c r="F24" s="2" t="str">
        <f>IFERROR(__xludf.DUMMYFUNCTION("""COMPUTED_VALUE"""),"COMPUESTO DE INSTALACIONES CON CABLE CANAL")</f>
        <v>COMPUESTO DE INSTALACIONES CON CABLE CANAL</v>
      </c>
      <c r="G24" s="2" t="str">
        <f>IFERROR(__xludf.DUMMYFUNCTION("""COMPUTED_VALUE"""),"COMPUESTO DE INSTALACIONES CON CABLE CANAL")</f>
        <v>COMPUESTO DE INSTALACIONES CON CABLE CANAL</v>
      </c>
      <c r="H24" s="2" t="str">
        <f>IFERROR(__xludf.DUMMYFUNCTION("""COMPUTED_VALUE"""),"COMPUESTO DE INSTALACIONES CON CABLE CANAL")</f>
        <v>COMPUESTO DE INSTALACIONES CON CABLE CANAL</v>
      </c>
      <c r="I24" s="2" t="str">
        <f>IFERROR(__xludf.DUMMYFUNCTION("""COMPUTED_VALUE"""),"COMPUESTO DE INSTALACIONES CON CABLE CANAL")</f>
        <v>COMPUESTO DE INSTALACIONES CON CABLE CANAL</v>
      </c>
      <c r="J24" s="2" t="str">
        <f>IFERROR(__xludf.DUMMYFUNCTION("""COMPUTED_VALUE"""),"COMPUESTO DE INSTALACIONES CON CABLE CANAL")</f>
        <v>COMPUESTO DE INSTALACIONES CON CABLE CANAL</v>
      </c>
      <c r="K24" s="2" t="str">
        <f>IFERROR(__xludf.DUMMYFUNCTION("""COMPUTED_VALUE"""),"COMPUESTO DE INSTALACIONES CON CABLE CANAL")</f>
        <v>COMPUESTO DE INSTALACIONES CON CABLE CANAL</v>
      </c>
      <c r="L24" s="2" t="str">
        <f>IFERROR(__xludf.DUMMYFUNCTION("""COMPUTED_VALUE"""),"COMPUESTO DE INSTALACIONES CON CABLE CANAL")</f>
        <v>COMPUESTO DE INSTALACIONES CON CABLE CANAL</v>
      </c>
      <c r="M24" s="2" t="str">
        <f>IFERROR(__xludf.DUMMYFUNCTION("""COMPUTED_VALUE"""),"COMPUESTO DE INSTALACIONES CON CABLE CANAL")</f>
        <v>COMPUESTO DE INSTALACIONES CON CABLE CANAL</v>
      </c>
      <c r="N24" s="2" t="str">
        <f>IFERROR(__xludf.DUMMYFUNCTION("""COMPUTED_VALUE"""),"COMPUESTO DE INSTALACIONES CON CABLE CANAL")</f>
        <v>COMPUESTO DE INSTALACIONES CON CABLE CANAL</v>
      </c>
      <c r="O24" s="2" t="str">
        <f>IFERROR(__xludf.DUMMYFUNCTION("""COMPUTED_VALUE"""),"COMPUESTO DE INSTALACIONES CON CABLE CANAL")</f>
        <v>COMPUESTO DE INSTALACIONES CON CABLE CANAL</v>
      </c>
      <c r="P24" s="2" t="str">
        <f>IFERROR(__xludf.DUMMYFUNCTION("""COMPUTED_VALUE"""),"COMPUESTO DE INSTALACIONES CON CABLE CANAL")</f>
        <v>COMPUESTO DE INSTALACIONES CON CABLE CANAL</v>
      </c>
      <c r="Q24" s="2" t="str">
        <f>IFERROR(__xludf.DUMMYFUNCTION("""COMPUTED_VALUE"""),"COMPUESTO DE INSTALACIONES CON CABLE CANAL")</f>
        <v>COMPUESTO DE INSTALACIONES CON CABLE CANAL</v>
      </c>
      <c r="R24" s="2" t="str">
        <f>IFERROR(__xludf.DUMMYFUNCTION("""COMPUTED_VALUE"""),"COMPUESTO DE INSTALACIONES CON CABLE CANAL")</f>
        <v>COMPUESTO DE INSTALACIONES CON CABLE CANAL</v>
      </c>
      <c r="S24" s="2" t="str">
        <f>IFERROR(__xludf.DUMMYFUNCTION("""COMPUTED_VALUE"""),"COMPUESTO DE INSTALACIONES CON CABLE CANAL")</f>
        <v>COMPUESTO DE INSTALACIONES CON CABLE CANAL</v>
      </c>
      <c r="T24" s="2" t="str">
        <f>IFERROR(__xludf.DUMMYFUNCTION("""COMPUTED_VALUE"""),"COMPUESTO DE INSTALACIONES CON CABLE CANAL")</f>
        <v>COMPUESTO DE INSTALACIONES CON CABLE CANAL</v>
      </c>
      <c r="U24" s="2" t="str">
        <f>IFERROR(__xludf.DUMMYFUNCTION("""COMPUTED_VALUE"""),"COMPUESTO DE INSTALACIONES CON CABLE CANAL")</f>
        <v>COMPUESTO DE INSTALACIONES CON CABLE CANAL</v>
      </c>
    </row>
    <row r="25">
      <c r="E25" s="2" t="str">
        <f>IFERROR(__xludf.DUMMYFUNCTION("""COMPUTED_VALUE"""),"COMPUESTO ACOMETIDA")</f>
        <v>COMPUESTO ACOMETIDA</v>
      </c>
      <c r="F25" s="2" t="str">
        <f>IFERROR(__xludf.DUMMYFUNCTION("""COMPUTED_VALUE"""),"COMPUESTO ACOMETIDA")</f>
        <v>COMPUESTO ACOMETIDA</v>
      </c>
      <c r="G25" s="2" t="str">
        <f>IFERROR(__xludf.DUMMYFUNCTION("""COMPUTED_VALUE"""),"COMPUESTO ACOMETIDA")</f>
        <v>COMPUESTO ACOMETIDA</v>
      </c>
      <c r="H25" s="2" t="str">
        <f>IFERROR(__xludf.DUMMYFUNCTION("""COMPUTED_VALUE"""),"COMPUESTO ACOMETIDA")</f>
        <v>COMPUESTO ACOMETIDA</v>
      </c>
      <c r="I25" s="2" t="str">
        <f>IFERROR(__xludf.DUMMYFUNCTION("""COMPUTED_VALUE"""),"COMPUESTO ACOMETIDA")</f>
        <v>COMPUESTO ACOMETIDA</v>
      </c>
      <c r="J25" s="2" t="str">
        <f>IFERROR(__xludf.DUMMYFUNCTION("""COMPUTED_VALUE"""),"COMPUESTO ACOMETIDA")</f>
        <v>COMPUESTO ACOMETIDA</v>
      </c>
      <c r="K25" s="2" t="str">
        <f>IFERROR(__xludf.DUMMYFUNCTION("""COMPUTED_VALUE"""),"COMPUESTO ACOMETIDA")</f>
        <v>COMPUESTO ACOMETIDA</v>
      </c>
      <c r="L25" s="2" t="str">
        <f>IFERROR(__xludf.DUMMYFUNCTION("""COMPUTED_VALUE"""),"COMPUESTO ACOMETIDA")</f>
        <v>COMPUESTO ACOMETIDA</v>
      </c>
      <c r="M25" s="2" t="str">
        <f>IFERROR(__xludf.DUMMYFUNCTION("""COMPUTED_VALUE"""),"COMPUESTO ACOMETIDA")</f>
        <v>COMPUESTO ACOMETIDA</v>
      </c>
      <c r="N25" s="2" t="str">
        <f>IFERROR(__xludf.DUMMYFUNCTION("""COMPUTED_VALUE"""),"COMPUESTO ACOMETIDA")</f>
        <v>COMPUESTO ACOMETIDA</v>
      </c>
      <c r="O25" s="2" t="str">
        <f>IFERROR(__xludf.DUMMYFUNCTION("""COMPUTED_VALUE"""),"COMPUESTO ACOMETIDA")</f>
        <v>COMPUESTO ACOMETIDA</v>
      </c>
      <c r="P25" s="2" t="str">
        <f>IFERROR(__xludf.DUMMYFUNCTION("""COMPUTED_VALUE"""),"COMPUESTO ACOMETIDA")</f>
        <v>COMPUESTO ACOMETIDA</v>
      </c>
      <c r="Q25" s="2" t="str">
        <f>IFERROR(__xludf.DUMMYFUNCTION("""COMPUTED_VALUE"""),"COMPUESTO ACOMETIDA")</f>
        <v>COMPUESTO ACOMETIDA</v>
      </c>
      <c r="R25" s="2" t="str">
        <f>IFERROR(__xludf.DUMMYFUNCTION("""COMPUTED_VALUE"""),"COMPUESTO ACOMETIDA")</f>
        <v>COMPUESTO ACOMETIDA</v>
      </c>
      <c r="S25" s="2" t="str">
        <f>IFERROR(__xludf.DUMMYFUNCTION("""COMPUTED_VALUE"""),"COMPUESTO ACOMETIDA")</f>
        <v>COMPUESTO ACOMETIDA</v>
      </c>
      <c r="T25" s="2" t="str">
        <f>IFERROR(__xludf.DUMMYFUNCTION("""COMPUTED_VALUE"""),"COMPUESTO ACOMETIDA")</f>
        <v>COMPUESTO ACOMETIDA</v>
      </c>
      <c r="U25" s="2" t="str">
        <f>IFERROR(__xludf.DUMMYFUNCTION("""COMPUTED_VALUE"""),"COMPUESTO ACOMETIDA")</f>
        <v>COMPUESTO ACOMETIDA</v>
      </c>
    </row>
    <row r="26">
      <c r="E26" s="2" t="str">
        <f>IFERROR(__xludf.DUMMYFUNCTION("""COMPUTED_VALUE"""),"PERSONAL CONTRATADO")</f>
        <v>PERSONAL CONTRATADO</v>
      </c>
      <c r="F26" s="2" t="str">
        <f>IFERROR(__xludf.DUMMYFUNCTION("""COMPUTED_VALUE"""),"PERSONAL CONTRATADO")</f>
        <v>PERSONAL CONTRATADO</v>
      </c>
      <c r="G26" s="2" t="str">
        <f>IFERROR(__xludf.DUMMYFUNCTION("""COMPUTED_VALUE"""),"PERSONAL CONTRATADO")</f>
        <v>PERSONAL CONTRATADO</v>
      </c>
      <c r="H26" s="2" t="str">
        <f>IFERROR(__xludf.DUMMYFUNCTION("""COMPUTED_VALUE"""),"PERSONAL CONTRATADO")</f>
        <v>PERSONAL CONTRATADO</v>
      </c>
      <c r="I26" s="2" t="str">
        <f>IFERROR(__xludf.DUMMYFUNCTION("""COMPUTED_VALUE"""),"PERSONAL CONTRATADO")</f>
        <v>PERSONAL CONTRATADO</v>
      </c>
      <c r="J26" s="2" t="str">
        <f>IFERROR(__xludf.DUMMYFUNCTION("""COMPUTED_VALUE"""),"PERSONAL CONTRATADO")</f>
        <v>PERSONAL CONTRATADO</v>
      </c>
      <c r="K26" s="2" t="str">
        <f>IFERROR(__xludf.DUMMYFUNCTION("""COMPUTED_VALUE"""),"PERSONAL CONTRATADO")</f>
        <v>PERSONAL CONTRATADO</v>
      </c>
      <c r="L26" s="2" t="str">
        <f>IFERROR(__xludf.DUMMYFUNCTION("""COMPUTED_VALUE"""),"PERSONAL CONTRATADO")</f>
        <v>PERSONAL CONTRATADO</v>
      </c>
      <c r="M26" s="2" t="str">
        <f>IFERROR(__xludf.DUMMYFUNCTION("""COMPUTED_VALUE"""),"PERSONAL CONTRATADO")</f>
        <v>PERSONAL CONTRATADO</v>
      </c>
      <c r="N26" s="2" t="str">
        <f>IFERROR(__xludf.DUMMYFUNCTION("""COMPUTED_VALUE"""),"PERSONAL CONTRATADO")</f>
        <v>PERSONAL CONTRATADO</v>
      </c>
      <c r="O26" s="2" t="str">
        <f>IFERROR(__xludf.DUMMYFUNCTION("""COMPUTED_VALUE"""),"PERSONAL CONTRATADO")</f>
        <v>PERSONAL CONTRATADO</v>
      </c>
      <c r="P26" s="2" t="str">
        <f>IFERROR(__xludf.DUMMYFUNCTION("""COMPUTED_VALUE"""),"PERSONAL CONTRATADO")</f>
        <v>PERSONAL CONTRATADO</v>
      </c>
      <c r="Q26" s="2" t="str">
        <f>IFERROR(__xludf.DUMMYFUNCTION("""COMPUTED_VALUE"""),"PERSONAL CONTRATADO")</f>
        <v>PERSONAL CONTRATADO</v>
      </c>
      <c r="R26" s="2" t="str">
        <f>IFERROR(__xludf.DUMMYFUNCTION("""COMPUTED_VALUE"""),"PERSONAL CONTRATADO")</f>
        <v>PERSONAL CONTRATADO</v>
      </c>
      <c r="S26" s="2" t="str">
        <f>IFERROR(__xludf.DUMMYFUNCTION("""COMPUTED_VALUE"""),"PERSONAL CONTRATADO")</f>
        <v>PERSONAL CONTRATADO</v>
      </c>
      <c r="T26" s="2" t="str">
        <f>IFERROR(__xludf.DUMMYFUNCTION("""COMPUTED_VALUE"""),"PERSONAL CONTRATADO")</f>
        <v>PERSONAL CONTRATADO</v>
      </c>
      <c r="U26" s="2" t="str">
        <f>IFERROR(__xludf.DUMMYFUNCTION("""COMPUTED_VALUE"""),"PERSONAL CONTRATADO")</f>
        <v>PERSONAL CONTRATADO</v>
      </c>
    </row>
    <row r="27">
      <c r="E27" s="2" t="str">
        <f>IFERROR(__xludf.DUMMYFUNCTION("""COMPUTED_VALUE"""),"Nueva Categoría ")</f>
        <v>Nueva Categoría </v>
      </c>
      <c r="F27" s="2" t="str">
        <f>IFERROR(__xludf.DUMMYFUNCTION("""COMPUTED_VALUE"""),"Nueva Categoría ")</f>
        <v>Nueva Categoría </v>
      </c>
      <c r="G27" s="2" t="str">
        <f>IFERROR(__xludf.DUMMYFUNCTION("""COMPUTED_VALUE"""),"Nueva Categoría ")</f>
        <v>Nueva Categoría </v>
      </c>
      <c r="H27" s="2" t="str">
        <f>IFERROR(__xludf.DUMMYFUNCTION("""COMPUTED_VALUE"""),"Nueva Categoría ")</f>
        <v>Nueva Categoría </v>
      </c>
      <c r="I27" s="2" t="str">
        <f>IFERROR(__xludf.DUMMYFUNCTION("""COMPUTED_VALUE"""),"Nueva Categoría ")</f>
        <v>Nueva Categoría </v>
      </c>
      <c r="J27" s="2" t="str">
        <f>IFERROR(__xludf.DUMMYFUNCTION("""COMPUTED_VALUE"""),"Nueva Categoría ")</f>
        <v>Nueva Categoría </v>
      </c>
      <c r="K27" s="2" t="str">
        <f>IFERROR(__xludf.DUMMYFUNCTION("""COMPUTED_VALUE"""),"Nueva Categoría ")</f>
        <v>Nueva Categoría </v>
      </c>
      <c r="L27" s="2" t="str">
        <f>IFERROR(__xludf.DUMMYFUNCTION("""COMPUTED_VALUE"""),"Nueva Categoría ")</f>
        <v>Nueva Categoría </v>
      </c>
      <c r="M27" s="2" t="str">
        <f>IFERROR(__xludf.DUMMYFUNCTION("""COMPUTED_VALUE"""),"Nueva Categoría ")</f>
        <v>Nueva Categoría </v>
      </c>
      <c r="N27" s="2" t="str">
        <f>IFERROR(__xludf.DUMMYFUNCTION("""COMPUTED_VALUE"""),"Nueva Categoría ")</f>
        <v>Nueva Categoría </v>
      </c>
      <c r="O27" s="2" t="str">
        <f>IFERROR(__xludf.DUMMYFUNCTION("""COMPUTED_VALUE"""),"Nueva Categoría ")</f>
        <v>Nueva Categoría </v>
      </c>
      <c r="P27" s="2" t="str">
        <f>IFERROR(__xludf.DUMMYFUNCTION("""COMPUTED_VALUE"""),"Nueva Categoría ")</f>
        <v>Nueva Categoría </v>
      </c>
      <c r="Q27" s="2" t="str">
        <f>IFERROR(__xludf.DUMMYFUNCTION("""COMPUTED_VALUE"""),"Nueva Categoría ")</f>
        <v>Nueva Categoría </v>
      </c>
      <c r="R27" s="2" t="str">
        <f>IFERROR(__xludf.DUMMYFUNCTION("""COMPUTED_VALUE"""),"Nueva Categoría ")</f>
        <v>Nueva Categoría </v>
      </c>
      <c r="S27" s="2" t="str">
        <f>IFERROR(__xludf.DUMMYFUNCTION("""COMPUTED_VALUE"""),"Nueva Categoría ")</f>
        <v>Nueva Categoría </v>
      </c>
      <c r="T27" s="2" t="str">
        <f>IFERROR(__xludf.DUMMYFUNCTION("""COMPUTED_VALUE"""),"Nueva Categoría ")</f>
        <v>Nueva Categoría </v>
      </c>
      <c r="U27" s="2" t="str">
        <f>IFERROR(__xludf.DUMMYFUNCTION("""COMPUTED_VALUE"""),"Nueva Categoría ")</f>
        <v>Nueva Categoría </v>
      </c>
    </row>
    <row r="28">
      <c r="E28" s="2" t="str">
        <f>IFERROR(__xludf.DUMMYFUNCTION("""COMPUTED_VALUE"""),"PURIFICACION (EI)")</f>
        <v>PURIFICACION (EI)</v>
      </c>
      <c r="F28" s="2" t="str">
        <f>IFERROR(__xludf.DUMMYFUNCTION("""COMPUTED_VALUE"""),"PURIFICACION (EI)")</f>
        <v>PURIFICACION (EI)</v>
      </c>
      <c r="G28" s="2" t="str">
        <f>IFERROR(__xludf.DUMMYFUNCTION("""COMPUTED_VALUE"""),"PURIFICACION (EI)")</f>
        <v>PURIFICACION (EI)</v>
      </c>
      <c r="H28" s="2" t="str">
        <f>IFERROR(__xludf.DUMMYFUNCTION("""COMPUTED_VALUE"""),"PURIFICACION (EI)")</f>
        <v>PURIFICACION (EI)</v>
      </c>
      <c r="I28" s="2" t="str">
        <f>IFERROR(__xludf.DUMMYFUNCTION("""COMPUTED_VALUE"""),"PURIFICACION (EI)")</f>
        <v>PURIFICACION (EI)</v>
      </c>
      <c r="J28" s="2" t="str">
        <f>IFERROR(__xludf.DUMMYFUNCTION("""COMPUTED_VALUE"""),"PURIFICACION (EI)")</f>
        <v>PURIFICACION (EI)</v>
      </c>
      <c r="K28" s="2" t="str">
        <f>IFERROR(__xludf.DUMMYFUNCTION("""COMPUTED_VALUE"""),"PURIFICACION (EI)")</f>
        <v>PURIFICACION (EI)</v>
      </c>
      <c r="L28" s="2" t="str">
        <f>IFERROR(__xludf.DUMMYFUNCTION("""COMPUTED_VALUE"""),"PURIFICACION (EI)")</f>
        <v>PURIFICACION (EI)</v>
      </c>
      <c r="M28" s="2" t="str">
        <f>IFERROR(__xludf.DUMMYFUNCTION("""COMPUTED_VALUE"""),"PURIFICACION (EI)")</f>
        <v>PURIFICACION (EI)</v>
      </c>
      <c r="N28" s="2" t="str">
        <f>IFERROR(__xludf.DUMMYFUNCTION("""COMPUTED_VALUE"""),"PURIFICACION (EI)")</f>
        <v>PURIFICACION (EI)</v>
      </c>
      <c r="O28" s="2" t="str">
        <f>IFERROR(__xludf.DUMMYFUNCTION("""COMPUTED_VALUE"""),"PURIFICACION (EI)")</f>
        <v>PURIFICACION (EI)</v>
      </c>
      <c r="P28" s="2" t="str">
        <f>IFERROR(__xludf.DUMMYFUNCTION("""COMPUTED_VALUE"""),"PURIFICACION (EI)")</f>
        <v>PURIFICACION (EI)</v>
      </c>
      <c r="Q28" s="2" t="str">
        <f>IFERROR(__xludf.DUMMYFUNCTION("""COMPUTED_VALUE"""),"PURIFICACION (EI)")</f>
        <v>PURIFICACION (EI)</v>
      </c>
      <c r="R28" s="2" t="str">
        <f>IFERROR(__xludf.DUMMYFUNCTION("""COMPUTED_VALUE"""),"PURIFICACION (EI)")</f>
        <v>PURIFICACION (EI)</v>
      </c>
      <c r="S28" s="2" t="str">
        <f>IFERROR(__xludf.DUMMYFUNCTION("""COMPUTED_VALUE"""),"PURIFICACION (EI)")</f>
        <v>PURIFICACION (EI)</v>
      </c>
      <c r="T28" s="2" t="str">
        <f>IFERROR(__xludf.DUMMYFUNCTION("""COMPUTED_VALUE"""),"PURIFICACION (EI)")</f>
        <v>PURIFICACION (EI)</v>
      </c>
      <c r="U28" s="2" t="str">
        <f>IFERROR(__xludf.DUMMYFUNCTION("""COMPUTED_VALUE"""),"PURIFICACION (EI)")</f>
        <v>PURIFICACION (EI)</v>
      </c>
    </row>
    <row r="29">
      <c r="E29" s="2" t="str">
        <f>IFERROR(__xludf.DUMMYFUNCTION("""COMPUTED_VALUE"""),"ELECTROINSTALADOR (Otros)")</f>
        <v>ELECTROINSTALADOR (Otros)</v>
      </c>
      <c r="F29" s="2" t="str">
        <f>IFERROR(__xludf.DUMMYFUNCTION("""COMPUTED_VALUE"""),"ELECTROINSTALADOR (Otros)")</f>
        <v>ELECTROINSTALADOR (Otros)</v>
      </c>
      <c r="G29" s="2" t="str">
        <f>IFERROR(__xludf.DUMMYFUNCTION("""COMPUTED_VALUE"""),"ELECTROINSTALADOR (Otros)")</f>
        <v>ELECTROINSTALADOR (Otros)</v>
      </c>
      <c r="H29" s="2" t="str">
        <f>IFERROR(__xludf.DUMMYFUNCTION("""COMPUTED_VALUE"""),"ELECTROINSTALADOR (Otros)")</f>
        <v>ELECTROINSTALADOR (Otros)</v>
      </c>
      <c r="I29" s="2" t="str">
        <f>IFERROR(__xludf.DUMMYFUNCTION("""COMPUTED_VALUE"""),"ELECTROINSTALADOR (Otros)")</f>
        <v>ELECTROINSTALADOR (Otros)</v>
      </c>
      <c r="J29" s="2" t="str">
        <f>IFERROR(__xludf.DUMMYFUNCTION("""COMPUTED_VALUE"""),"ELECTROINSTALADOR (Otros)")</f>
        <v>ELECTROINSTALADOR (Otros)</v>
      </c>
      <c r="K29" s="2" t="str">
        <f>IFERROR(__xludf.DUMMYFUNCTION("""COMPUTED_VALUE"""),"ELECTROINSTALADOR (Otros)")</f>
        <v>ELECTROINSTALADOR (Otros)</v>
      </c>
      <c r="L29" s="2" t="str">
        <f>IFERROR(__xludf.DUMMYFUNCTION("""COMPUTED_VALUE"""),"ELECTROINSTALADOR (Otros)")</f>
        <v>ELECTROINSTALADOR (Otros)</v>
      </c>
      <c r="M29" s="2" t="str">
        <f>IFERROR(__xludf.DUMMYFUNCTION("""COMPUTED_VALUE"""),"ELECTROINSTALADOR (Otros)")</f>
        <v>ELECTROINSTALADOR (Otros)</v>
      </c>
      <c r="N29" s="2" t="str">
        <f>IFERROR(__xludf.DUMMYFUNCTION("""COMPUTED_VALUE"""),"ELECTROINSTALADOR (Otros)")</f>
        <v>ELECTROINSTALADOR (Otros)</v>
      </c>
      <c r="O29" s="2" t="str">
        <f>IFERROR(__xludf.DUMMYFUNCTION("""COMPUTED_VALUE"""),"ELECTROINSTALADOR (Otros)")</f>
        <v>ELECTROINSTALADOR (Otros)</v>
      </c>
      <c r="P29" s="2" t="str">
        <f>IFERROR(__xludf.DUMMYFUNCTION("""COMPUTED_VALUE"""),"ELECTROINSTALADOR (Otros)")</f>
        <v>ELECTROINSTALADOR (Otros)</v>
      </c>
      <c r="Q29" s="2" t="str">
        <f>IFERROR(__xludf.DUMMYFUNCTION("""COMPUTED_VALUE"""),"ELECTROINSTALADOR (Otros)")</f>
        <v>ELECTROINSTALADOR (Otros)</v>
      </c>
      <c r="R29" s="2" t="str">
        <f>IFERROR(__xludf.DUMMYFUNCTION("""COMPUTED_VALUE"""),"ELECTROINSTALADOR (Otros)")</f>
        <v>ELECTROINSTALADOR (Otros)</v>
      </c>
      <c r="S29" s="2" t="str">
        <f>IFERROR(__xludf.DUMMYFUNCTION("""COMPUTED_VALUE"""),"ELECTROINSTALADOR (Otros)")</f>
        <v>ELECTROINSTALADOR (Otros)</v>
      </c>
      <c r="T29" s="2" t="str">
        <f>IFERROR(__xludf.DUMMYFUNCTION("""COMPUTED_VALUE"""),"ELECTROINSTALADOR (Otros)")</f>
        <v>ELECTROINSTALADOR (Otros)</v>
      </c>
      <c r="U29" s="2" t="str">
        <f>IFERROR(__xludf.DUMMYFUNCTION("""COMPUTED_VALUE"""),"ELECTROINSTALADOR (Otros)")</f>
        <v>ELECTROINSTALADOR (Otros)</v>
      </c>
    </row>
    <row r="30">
      <c r="E30" s="2"/>
      <c r="F30" s="2"/>
      <c r="G30" s="2"/>
      <c r="H30" s="2"/>
      <c r="I30" s="2"/>
      <c r="J30" s="2"/>
      <c r="K30" s="2"/>
      <c r="L30" s="2"/>
      <c r="M30" s="2"/>
      <c r="N30" s="2"/>
      <c r="O30" s="2"/>
      <c r="P30" s="2"/>
      <c r="Q30" s="2"/>
      <c r="R30" s="2"/>
      <c r="S30" s="2"/>
      <c r="T30" s="2"/>
      <c r="U30" s="2"/>
    </row>
    <row r="31">
      <c r="E31" s="2" t="str">
        <f>IFERROR(__xludf.DUMMYFUNCTION("""COMPUTED_VALUE"""),"Obra completa - Refacción - Ampliación (*) (AAIERIC)")</f>
        <v>Obra completa - Refacción - Ampliación (*) (AAIERIC)</v>
      </c>
      <c r="F31" s="2" t="str">
        <f>IFERROR(__xludf.DUMMYFUNCTION("""COMPUTED_VALUE"""),"Obra completa - Refacción - Ampliación (*) (AAIERIC)")</f>
        <v>Obra completa - Refacción - Ampliación (*) (AAIERIC)</v>
      </c>
      <c r="G31" s="2" t="str">
        <f>IFERROR(__xludf.DUMMYFUNCTION("""COMPUTED_VALUE"""),"Obra completa - Refacción - Ampliación (*) (AAIERIC)")</f>
        <v>Obra completa - Refacción - Ampliación (*) (AAIERIC)</v>
      </c>
      <c r="H31" s="2" t="str">
        <f>IFERROR(__xludf.DUMMYFUNCTION("""COMPUTED_VALUE"""),"Obra completa - Refacción - Ampliación (*) (AAIERIC)")</f>
        <v>Obra completa - Refacción - Ampliación (*) (AAIERIC)</v>
      </c>
      <c r="I31" s="2" t="str">
        <f>IFERROR(__xludf.DUMMYFUNCTION("""COMPUTED_VALUE"""),"Obra completa - Refacción - Ampliación (*) (AAIERIC)")</f>
        <v>Obra completa - Refacción - Ampliación (*) (AAIERIC)</v>
      </c>
      <c r="J31" s="2" t="str">
        <f>IFERROR(__xludf.DUMMYFUNCTION("""COMPUTED_VALUE"""),"Obra completa - Refacción - Ampliación (*) (AAIERIC)")</f>
        <v>Obra completa - Refacción - Ampliación (*) (AAIERIC)</v>
      </c>
      <c r="K31" s="2" t="str">
        <f>IFERROR(__xludf.DUMMYFUNCTION("""COMPUTED_VALUE"""),"Obra completa - Refacción - Ampliación (*) (AAIERIC)")</f>
        <v>Obra completa - Refacción - Ampliación (*) (AAIERIC)</v>
      </c>
      <c r="L31" s="2" t="str">
        <f>IFERROR(__xludf.DUMMYFUNCTION("""COMPUTED_VALUE"""),"Obra completa - Refacción - Ampliación (*) (AAIERIC)")</f>
        <v>Obra completa - Refacción - Ampliación (*) (AAIERIC)</v>
      </c>
      <c r="M31" s="2" t="str">
        <f>IFERROR(__xludf.DUMMYFUNCTION("""COMPUTED_VALUE"""),"Obra completa - Refacción - Ampliación (*) (AAIERIC)")</f>
        <v>Obra completa - Refacción - Ampliación (*) (AAIERIC)</v>
      </c>
      <c r="N31" s="2" t="str">
        <f>IFERROR(__xludf.DUMMYFUNCTION("""COMPUTED_VALUE"""),"Obra completa - Refacción - Ampliación (*) (AAIERIC)")</f>
        <v>Obra completa - Refacción - Ampliación (*) (AAIERIC)</v>
      </c>
      <c r="O31" s="2" t="str">
        <f>IFERROR(__xludf.DUMMYFUNCTION("""COMPUTED_VALUE"""),"Obra completa - Refacción - Ampliación (*) (AAIERIC)")</f>
        <v>Obra completa - Refacción - Ampliación (*) (AAIERIC)</v>
      </c>
      <c r="P31" s="2" t="str">
        <f>IFERROR(__xludf.DUMMYFUNCTION("""COMPUTED_VALUE"""),"Obra completa - Refacción - Ampliación (*) (AAIERIC)")</f>
        <v>Obra completa - Refacción - Ampliación (*) (AAIERIC)</v>
      </c>
      <c r="Q31" s="2" t="str">
        <f>IFERROR(__xludf.DUMMYFUNCTION("""COMPUTED_VALUE"""),"Obra completa - Refacción - Ampliación (*) (AAIERIC)")</f>
        <v>Obra completa - Refacción - Ampliación (*) (AAIERIC)</v>
      </c>
      <c r="R31" s="2" t="str">
        <f>IFERROR(__xludf.DUMMYFUNCTION("""COMPUTED_VALUE"""),"Obra completa - Refacción - Ampliación (*) (AAIERIC)")</f>
        <v>Obra completa - Refacción - Ampliación (*) (AAIERIC)</v>
      </c>
      <c r="S31" s="2" t="str">
        <f>IFERROR(__xludf.DUMMYFUNCTION("""COMPUTED_VALUE"""),"Obra completa - Refacción - Ampliación (*) (AAIERIC)")</f>
        <v>Obra completa - Refacción - Ampliación (*) (AAIERIC)</v>
      </c>
      <c r="T31" s="2" t="str">
        <f>IFERROR(__xludf.DUMMYFUNCTION("""COMPUTED_VALUE"""),"Obra completa - Refacción - Ampliación (*) (AAIERIC)")</f>
        <v>Obra completa - Refacción - Ampliación (*) (AAIERIC)</v>
      </c>
      <c r="U31" s="2" t="str">
        <f>IFERROR(__xludf.DUMMYFUNCTION("""COMPUTED_VALUE"""),"Obra completa - Refacción - Ampliación (*) (AAIERIC)")</f>
        <v>Obra completa - Refacción - Ampliación (*) (AAIERIC)</v>
      </c>
    </row>
    <row r="32">
      <c r="E32" s="2" t="str">
        <f>IFERROR(__xludf.DUMMYFUNCTION("""COMPUTED_VALUE"""),"Canalización de cañería en losa")</f>
        <v>Canalización de cañería en losa</v>
      </c>
      <c r="F32" s="2" t="str">
        <f>IFERROR(__xludf.DUMMYFUNCTION("""COMPUTED_VALUE"""),"Canalización de cañería en losa")</f>
        <v>Canalización de cañería en losa</v>
      </c>
      <c r="G32" s="2" t="str">
        <f>IFERROR(__xludf.DUMMYFUNCTION("""COMPUTED_VALUE"""),"Canalización de cañería en losa")</f>
        <v>Canalización de cañería en losa</v>
      </c>
      <c r="H32" s="2" t="str">
        <f>IFERROR(__xludf.DUMMYFUNCTION("""COMPUTED_VALUE"""),"Canalización de cañería en losa")</f>
        <v>Canalización de cañería en losa</v>
      </c>
      <c r="I32" s="2" t="str">
        <f>IFERROR(__xludf.DUMMYFUNCTION("""COMPUTED_VALUE"""),"Canalización de cañería en losa")</f>
        <v>Canalización de cañería en losa</v>
      </c>
      <c r="J32" s="2" t="str">
        <f>IFERROR(__xludf.DUMMYFUNCTION("""COMPUTED_VALUE"""),"Canalización de cañería en losa")</f>
        <v>Canalización de cañería en losa</v>
      </c>
      <c r="K32" s="2" t="str">
        <f>IFERROR(__xludf.DUMMYFUNCTION("""COMPUTED_VALUE"""),"Canalización de cañería en losa")</f>
        <v>Canalización de cañería en losa</v>
      </c>
      <c r="L32" s="2" t="str">
        <f>IFERROR(__xludf.DUMMYFUNCTION("""COMPUTED_VALUE"""),"Canalización de cañería en losa")</f>
        <v>Canalización de cañería en losa</v>
      </c>
      <c r="M32" s="2" t="str">
        <f>IFERROR(__xludf.DUMMYFUNCTION("""COMPUTED_VALUE"""),"Canalización de cañería en losa")</f>
        <v>Canalización de cañería en losa</v>
      </c>
      <c r="N32" s="2" t="str">
        <f>IFERROR(__xludf.DUMMYFUNCTION("""COMPUTED_VALUE"""),"Canalización de cañería en losa")</f>
        <v>Canalización de cañería en losa</v>
      </c>
      <c r="O32" s="2" t="str">
        <f>IFERROR(__xludf.DUMMYFUNCTION("""COMPUTED_VALUE"""),"Canalización de cañería en losa")</f>
        <v>Canalización de cañería en losa</v>
      </c>
      <c r="P32" s="2" t="str">
        <f>IFERROR(__xludf.DUMMYFUNCTION("""COMPUTED_VALUE"""),"Canalización de cañería en losa")</f>
        <v>Canalización de cañería en losa</v>
      </c>
      <c r="Q32" s="2" t="str">
        <f>IFERROR(__xludf.DUMMYFUNCTION("""COMPUTED_VALUE"""),"Canalización de cañería en losa")</f>
        <v>Canalización de cañería en losa</v>
      </c>
      <c r="R32" s="2" t="str">
        <f>IFERROR(__xludf.DUMMYFUNCTION("""COMPUTED_VALUE"""),"Canalización de cañería en losa")</f>
        <v>Canalización de cañería en losa</v>
      </c>
      <c r="S32" s="2" t="str">
        <f>IFERROR(__xludf.DUMMYFUNCTION("""COMPUTED_VALUE"""),"Canalización de cañería en losa")</f>
        <v>Canalización de cañería en losa</v>
      </c>
      <c r="T32" s="2" t="str">
        <f>IFERROR(__xludf.DUMMYFUNCTION("""COMPUTED_VALUE"""),"Canalización de cañería en losa")</f>
        <v>Canalización de cañería en losa</v>
      </c>
      <c r="U32" s="2" t="str">
        <f>IFERROR(__xludf.DUMMYFUNCTION("""COMPUTED_VALUE"""),"Canalización de cañería en losa")</f>
        <v>Canalización de cañería en losa</v>
      </c>
    </row>
    <row r="33">
      <c r="E33" s="2" t="str">
        <f>IFERROR(__xludf.DUMMYFUNCTION("""COMPUTED_VALUE"""),"Amurado de cañeria en mampostería (AAIERIC)")</f>
        <v>Amurado de cañeria en mampostería (AAIERIC)</v>
      </c>
      <c r="F33" s="2" t="str">
        <f>IFERROR(__xludf.DUMMYFUNCTION("""COMPUTED_VALUE"""),"Amurado de cañeria en mampostería (AAIERIC)")</f>
        <v>Amurado de cañeria en mampostería (AAIERIC)</v>
      </c>
      <c r="G33" s="2" t="str">
        <f>IFERROR(__xludf.DUMMYFUNCTION("""COMPUTED_VALUE"""),"Amurado de cañeria en mampostería (AAIERIC)")</f>
        <v>Amurado de cañeria en mampostería (AAIERIC)</v>
      </c>
      <c r="H33" s="2" t="str">
        <f>IFERROR(__xludf.DUMMYFUNCTION("""COMPUTED_VALUE"""),"Amurado de cañeria en mampostería (AAIERIC)")</f>
        <v>Amurado de cañeria en mampostería (AAIERIC)</v>
      </c>
      <c r="I33" s="2" t="str">
        <f>IFERROR(__xludf.DUMMYFUNCTION("""COMPUTED_VALUE"""),"Amurado de cañeria en mampostería (AAIERIC)")</f>
        <v>Amurado de cañeria en mampostería (AAIERIC)</v>
      </c>
      <c r="J33" s="2" t="str">
        <f>IFERROR(__xludf.DUMMYFUNCTION("""COMPUTED_VALUE"""),"Amurado de cañeria en mampostería (AAIERIC)")</f>
        <v>Amurado de cañeria en mampostería (AAIERIC)</v>
      </c>
      <c r="K33" s="2" t="str">
        <f>IFERROR(__xludf.DUMMYFUNCTION("""COMPUTED_VALUE"""),"Amurado de cañeria en mampostería (AAIERIC)")</f>
        <v>Amurado de cañeria en mampostería (AAIERIC)</v>
      </c>
      <c r="L33" s="2" t="str">
        <f>IFERROR(__xludf.DUMMYFUNCTION("""COMPUTED_VALUE"""),"Amurado de cañeria en mampostería (AAIERIC)")</f>
        <v>Amurado de cañeria en mampostería (AAIERIC)</v>
      </c>
      <c r="M33" s="2" t="str">
        <f>IFERROR(__xludf.DUMMYFUNCTION("""COMPUTED_VALUE"""),"Amurado de cañeria en mampostería (AAIERIC)")</f>
        <v>Amurado de cañeria en mampostería (AAIERIC)</v>
      </c>
      <c r="N33" s="2" t="str">
        <f>IFERROR(__xludf.DUMMYFUNCTION("""COMPUTED_VALUE"""),"Amurado de cañeria en mampostería (AAIERIC)")</f>
        <v>Amurado de cañeria en mampostería (AAIERIC)</v>
      </c>
      <c r="O33" s="2" t="str">
        <f>IFERROR(__xludf.DUMMYFUNCTION("""COMPUTED_VALUE"""),"Amurado de cañeria en mampostería (AAIERIC)")</f>
        <v>Amurado de cañeria en mampostería (AAIERIC)</v>
      </c>
      <c r="P33" s="2" t="str">
        <f>IFERROR(__xludf.DUMMYFUNCTION("""COMPUTED_VALUE"""),"Amurado de cañeria en mampostería (AAIERIC)")</f>
        <v>Amurado de cañeria en mampostería (AAIERIC)</v>
      </c>
      <c r="Q33" s="2" t="str">
        <f>IFERROR(__xludf.DUMMYFUNCTION("""COMPUTED_VALUE"""),"Amurado de cañeria en mampostería (AAIERIC)")</f>
        <v>Amurado de cañeria en mampostería (AAIERIC)</v>
      </c>
      <c r="R33" s="2" t="str">
        <f>IFERROR(__xludf.DUMMYFUNCTION("""COMPUTED_VALUE"""),"Amurado de cañeria en mampostería (AAIERIC)")</f>
        <v>Amurado de cañeria en mampostería (AAIERIC)</v>
      </c>
      <c r="S33" s="2" t="str">
        <f>IFERROR(__xludf.DUMMYFUNCTION("""COMPUTED_VALUE"""),"Amurado de cañeria en mampostería (AAIERIC)")</f>
        <v>Amurado de cañeria en mampostería (AAIERIC)</v>
      </c>
      <c r="T33" s="2" t="str">
        <f>IFERROR(__xludf.DUMMYFUNCTION("""COMPUTED_VALUE"""),"Amurado de cañeria en mampostería (AAIERIC)")</f>
        <v>Amurado de cañeria en mampostería (AAIERIC)</v>
      </c>
      <c r="U33" s="2" t="str">
        <f>IFERROR(__xludf.DUMMYFUNCTION("""COMPUTED_VALUE"""),"Amurado de cañeria en mampostería (AAIERIC)")</f>
        <v>Amurado de cañeria en mampostería (AAIERIC)</v>
      </c>
    </row>
    <row r="34">
      <c r="E34" s="2" t="str">
        <f>IFERROR(__xludf.DUMMYFUNCTION("""COMPUTED_VALUE"""),"Amurado de cañeria a la vista")</f>
        <v>Amurado de cañeria a la vista</v>
      </c>
      <c r="F34" s="2" t="str">
        <f>IFERROR(__xludf.DUMMYFUNCTION("""COMPUTED_VALUE"""),"Amurado de cañeria a la vista")</f>
        <v>Amurado de cañeria a la vista</v>
      </c>
      <c r="G34" s="2" t="str">
        <f>IFERROR(__xludf.DUMMYFUNCTION("""COMPUTED_VALUE"""),"Amurado de cañeria a la vista")</f>
        <v>Amurado de cañeria a la vista</v>
      </c>
      <c r="H34" s="2" t="str">
        <f>IFERROR(__xludf.DUMMYFUNCTION("""COMPUTED_VALUE"""),"Amurado de cañeria a la vista")</f>
        <v>Amurado de cañeria a la vista</v>
      </c>
      <c r="I34" s="2" t="str">
        <f>IFERROR(__xludf.DUMMYFUNCTION("""COMPUTED_VALUE"""),"Amurado de cañeria a la vista")</f>
        <v>Amurado de cañeria a la vista</v>
      </c>
      <c r="J34" s="2" t="str">
        <f>IFERROR(__xludf.DUMMYFUNCTION("""COMPUTED_VALUE"""),"Amurado de cañeria a la vista")</f>
        <v>Amurado de cañeria a la vista</v>
      </c>
      <c r="K34" s="2" t="str">
        <f>IFERROR(__xludf.DUMMYFUNCTION("""COMPUTED_VALUE"""),"Amurado de cañeria a la vista")</f>
        <v>Amurado de cañeria a la vista</v>
      </c>
      <c r="L34" s="2" t="str">
        <f>IFERROR(__xludf.DUMMYFUNCTION("""COMPUTED_VALUE"""),"Amurado de cañeria a la vista")</f>
        <v>Amurado de cañeria a la vista</v>
      </c>
      <c r="M34" s="2" t="str">
        <f>IFERROR(__xludf.DUMMYFUNCTION("""COMPUTED_VALUE"""),"Amurado de cañeria a la vista")</f>
        <v>Amurado de cañeria a la vista</v>
      </c>
      <c r="N34" s="2" t="str">
        <f>IFERROR(__xludf.DUMMYFUNCTION("""COMPUTED_VALUE"""),"Amurado de cañeria a la vista")</f>
        <v>Amurado de cañeria a la vista</v>
      </c>
      <c r="O34" s="2" t="str">
        <f>IFERROR(__xludf.DUMMYFUNCTION("""COMPUTED_VALUE"""),"Amurado de cañeria a la vista")</f>
        <v>Amurado de cañeria a la vista</v>
      </c>
      <c r="P34" s="2" t="str">
        <f>IFERROR(__xludf.DUMMYFUNCTION("""COMPUTED_VALUE"""),"Amurado de cañeria a la vista")</f>
        <v>Amurado de cañeria a la vista</v>
      </c>
      <c r="Q34" s="2" t="str">
        <f>IFERROR(__xludf.DUMMYFUNCTION("""COMPUTED_VALUE"""),"Amurado de cañeria a la vista")</f>
        <v>Amurado de cañeria a la vista</v>
      </c>
      <c r="R34" s="2" t="str">
        <f>IFERROR(__xludf.DUMMYFUNCTION("""COMPUTED_VALUE"""),"Amurado de cañeria a la vista")</f>
        <v>Amurado de cañeria a la vista</v>
      </c>
      <c r="S34" s="2" t="str">
        <f>IFERROR(__xludf.DUMMYFUNCTION("""COMPUTED_VALUE"""),"Amurado de cañeria a la vista")</f>
        <v>Amurado de cañeria a la vista</v>
      </c>
      <c r="T34" s="2" t="str">
        <f>IFERROR(__xludf.DUMMYFUNCTION("""COMPUTED_VALUE"""),"Amurado de cañeria a la vista")</f>
        <v>Amurado de cañeria a la vista</v>
      </c>
      <c r="U34" s="2" t="str">
        <f>IFERROR(__xludf.DUMMYFUNCTION("""COMPUTED_VALUE"""),"Amurado de cañeria a la vista")</f>
        <v>Amurado de cañeria a la vista</v>
      </c>
    </row>
    <row r="35">
      <c r="E35" s="2"/>
      <c r="F35" s="2"/>
      <c r="G35" s="2"/>
      <c r="H35" s="2"/>
      <c r="I35" s="2"/>
      <c r="J35" s="2"/>
      <c r="K35" s="2"/>
      <c r="L35" s="2"/>
      <c r="M35" s="2"/>
      <c r="N35" s="2"/>
      <c r="O35" s="2"/>
      <c r="P35" s="2"/>
      <c r="Q35" s="2"/>
      <c r="R35" s="2"/>
      <c r="S35" s="2"/>
      <c r="T35" s="2"/>
      <c r="U35" s="2"/>
    </row>
    <row r="36">
      <c r="E36" s="2"/>
      <c r="F36" s="2"/>
      <c r="G36" s="2"/>
      <c r="H36" s="2"/>
      <c r="I36" s="2"/>
      <c r="J36" s="2"/>
      <c r="K36" s="2"/>
      <c r="L36" s="2"/>
      <c r="M36" s="2"/>
      <c r="N36" s="2"/>
      <c r="O36" s="2"/>
      <c r="P36" s="2"/>
      <c r="Q36" s="2"/>
      <c r="R36" s="2"/>
      <c r="S36" s="2"/>
      <c r="T36" s="2"/>
      <c r="U36" s="2"/>
    </row>
    <row r="37">
      <c r="E37" s="2" t="str">
        <f>IFERROR(__xludf.DUMMYFUNCTION("""COMPUTED_VALUE"""),"Pase de viga y/o columna (AAIERIC)")</f>
        <v>Pase de viga y/o columna (AAIERIC)</v>
      </c>
      <c r="F37" s="2" t="str">
        <f>IFERROR(__xludf.DUMMYFUNCTION("""COMPUTED_VALUE"""),"Pase de viga y/o columna (AAIERIC)")</f>
        <v>Pase de viga y/o columna (AAIERIC)</v>
      </c>
      <c r="G37" s="2" t="str">
        <f>IFERROR(__xludf.DUMMYFUNCTION("""COMPUTED_VALUE"""),"Pase de viga y/o columna (AAIERIC)")</f>
        <v>Pase de viga y/o columna (AAIERIC)</v>
      </c>
      <c r="H37" s="2" t="str">
        <f>IFERROR(__xludf.DUMMYFUNCTION("""COMPUTED_VALUE"""),"Pase de viga y/o columna (AAIERIC)")</f>
        <v>Pase de viga y/o columna (AAIERIC)</v>
      </c>
      <c r="I37" s="2" t="str">
        <f>IFERROR(__xludf.DUMMYFUNCTION("""COMPUTED_VALUE"""),"Pase de viga y/o columna (AAIERIC)")</f>
        <v>Pase de viga y/o columna (AAIERIC)</v>
      </c>
      <c r="J37" s="2" t="str">
        <f>IFERROR(__xludf.DUMMYFUNCTION("""COMPUTED_VALUE"""),"Pase de viga y/o columna (AAIERIC)")</f>
        <v>Pase de viga y/o columna (AAIERIC)</v>
      </c>
      <c r="K37" s="2" t="str">
        <f>IFERROR(__xludf.DUMMYFUNCTION("""COMPUTED_VALUE"""),"Pase de viga y/o columna (AAIERIC)")</f>
        <v>Pase de viga y/o columna (AAIERIC)</v>
      </c>
      <c r="L37" s="2" t="str">
        <f>IFERROR(__xludf.DUMMYFUNCTION("""COMPUTED_VALUE"""),"Pase de viga y/o columna (AAIERIC)")</f>
        <v>Pase de viga y/o columna (AAIERIC)</v>
      </c>
      <c r="M37" s="2" t="str">
        <f>IFERROR(__xludf.DUMMYFUNCTION("""COMPUTED_VALUE"""),"Pase de viga y/o columna (AAIERIC)")</f>
        <v>Pase de viga y/o columna (AAIERIC)</v>
      </c>
      <c r="N37" s="2" t="str">
        <f>IFERROR(__xludf.DUMMYFUNCTION("""COMPUTED_VALUE"""),"Pase de viga y/o columna (AAIERIC)")</f>
        <v>Pase de viga y/o columna (AAIERIC)</v>
      </c>
      <c r="O37" s="2" t="str">
        <f>IFERROR(__xludf.DUMMYFUNCTION("""COMPUTED_VALUE"""),"Pase de viga y/o columna (AAIERIC)")</f>
        <v>Pase de viga y/o columna (AAIERIC)</v>
      </c>
      <c r="P37" s="2" t="str">
        <f>IFERROR(__xludf.DUMMYFUNCTION("""COMPUTED_VALUE"""),"Pase de viga y/o columna (AAIERIC)")</f>
        <v>Pase de viga y/o columna (AAIERIC)</v>
      </c>
      <c r="Q37" s="2" t="str">
        <f>IFERROR(__xludf.DUMMYFUNCTION("""COMPUTED_VALUE"""),"Pase de viga y/o columna (AAIERIC)")</f>
        <v>Pase de viga y/o columna (AAIERIC)</v>
      </c>
      <c r="R37" s="2" t="str">
        <f>IFERROR(__xludf.DUMMYFUNCTION("""COMPUTED_VALUE"""),"Pase de viga y/o columna (AAIERIC)")</f>
        <v>Pase de viga y/o columna (AAIERIC)</v>
      </c>
      <c r="S37" s="2" t="str">
        <f>IFERROR(__xludf.DUMMYFUNCTION("""COMPUTED_VALUE"""),"Pase de viga y/o columna (AAIERIC)")</f>
        <v>Pase de viga y/o columna (AAIERIC)</v>
      </c>
      <c r="T37" s="2" t="str">
        <f>IFERROR(__xludf.DUMMYFUNCTION("""COMPUTED_VALUE"""),"Pase de viga y/o columna (AAIERIC)")</f>
        <v>Pase de viga y/o columna (AAIERIC)</v>
      </c>
      <c r="U37" s="2" t="str">
        <f>IFERROR(__xludf.DUMMYFUNCTION("""COMPUTED_VALUE"""),"Pase de viga y/o columna (AAIERIC)")</f>
        <v>Pase de viga y/o columna (AAIERIC)</v>
      </c>
    </row>
    <row r="38">
      <c r="E38" s="2"/>
      <c r="F38" s="2"/>
      <c r="G38" s="2"/>
      <c r="H38" s="2"/>
      <c r="I38" s="2"/>
      <c r="J38" s="2"/>
      <c r="K38" s="2"/>
      <c r="L38" s="2"/>
      <c r="M38" s="2"/>
      <c r="N38" s="2"/>
      <c r="O38" s="2"/>
      <c r="P38" s="2"/>
      <c r="Q38" s="2"/>
      <c r="R38" s="2"/>
      <c r="S38" s="2"/>
      <c r="T38" s="2"/>
      <c r="U38" s="2"/>
    </row>
    <row r="39">
      <c r="E39" s="2" t="str">
        <f>IFERROR(__xludf.DUMMYFUNCTION("""COMPUTED_VALUE"""),"Cable subterráneo (AAIERIC)")</f>
        <v>Cable subterráneo (AAIERIC)</v>
      </c>
      <c r="F39" s="2" t="str">
        <f>IFERROR(__xludf.DUMMYFUNCTION("""COMPUTED_VALUE"""),"Cable subterráneo (AAIERIC)")</f>
        <v>Cable subterráneo (AAIERIC)</v>
      </c>
      <c r="G39" s="2" t="str">
        <f>IFERROR(__xludf.DUMMYFUNCTION("""COMPUTED_VALUE"""),"Cable subterráneo (AAIERIC)")</f>
        <v>Cable subterráneo (AAIERIC)</v>
      </c>
      <c r="H39" s="2" t="str">
        <f>IFERROR(__xludf.DUMMYFUNCTION("""COMPUTED_VALUE"""),"Cable subterráneo (AAIERIC)")</f>
        <v>Cable subterráneo (AAIERIC)</v>
      </c>
      <c r="I39" s="2" t="str">
        <f>IFERROR(__xludf.DUMMYFUNCTION("""COMPUTED_VALUE"""),"Cable subterráneo (AAIERIC)")</f>
        <v>Cable subterráneo (AAIERIC)</v>
      </c>
      <c r="J39" s="2" t="str">
        <f>IFERROR(__xludf.DUMMYFUNCTION("""COMPUTED_VALUE"""),"Cable subterráneo (AAIERIC)")</f>
        <v>Cable subterráneo (AAIERIC)</v>
      </c>
      <c r="K39" s="2" t="str">
        <f>IFERROR(__xludf.DUMMYFUNCTION("""COMPUTED_VALUE"""),"Cable subterráneo (AAIERIC)")</f>
        <v>Cable subterráneo (AAIERIC)</v>
      </c>
      <c r="L39" s="2" t="str">
        <f>IFERROR(__xludf.DUMMYFUNCTION("""COMPUTED_VALUE"""),"Cable subterráneo (AAIERIC)")</f>
        <v>Cable subterráneo (AAIERIC)</v>
      </c>
      <c r="M39" s="2" t="str">
        <f>IFERROR(__xludf.DUMMYFUNCTION("""COMPUTED_VALUE"""),"Cable subterráneo (AAIERIC)")</f>
        <v>Cable subterráneo (AAIERIC)</v>
      </c>
      <c r="N39" s="2" t="str">
        <f>IFERROR(__xludf.DUMMYFUNCTION("""COMPUTED_VALUE"""),"Cable subterráneo (AAIERIC)")</f>
        <v>Cable subterráneo (AAIERIC)</v>
      </c>
      <c r="O39" s="2" t="str">
        <f>IFERROR(__xludf.DUMMYFUNCTION("""COMPUTED_VALUE"""),"Cable subterráneo (AAIERIC)")</f>
        <v>Cable subterráneo (AAIERIC)</v>
      </c>
      <c r="P39" s="2" t="str">
        <f>IFERROR(__xludf.DUMMYFUNCTION("""COMPUTED_VALUE"""),"Cable subterráneo (AAIERIC)")</f>
        <v>Cable subterráneo (AAIERIC)</v>
      </c>
      <c r="Q39" s="2" t="str">
        <f>IFERROR(__xludf.DUMMYFUNCTION("""COMPUTED_VALUE"""),"Cable subterráneo (AAIERIC)")</f>
        <v>Cable subterráneo (AAIERIC)</v>
      </c>
      <c r="R39" s="2" t="str">
        <f>IFERROR(__xludf.DUMMYFUNCTION("""COMPUTED_VALUE"""),"Cable subterráneo (AAIERIC)")</f>
        <v>Cable subterráneo (AAIERIC)</v>
      </c>
      <c r="S39" s="2" t="str">
        <f>IFERROR(__xludf.DUMMYFUNCTION("""COMPUTED_VALUE"""),"Cable subterráneo (AAIERIC)")</f>
        <v>Cable subterráneo (AAIERIC)</v>
      </c>
      <c r="T39" s="2" t="str">
        <f>IFERROR(__xludf.DUMMYFUNCTION("""COMPUTED_VALUE"""),"Cable subterráneo (AAIERIC)")</f>
        <v>Cable subterráneo (AAIERIC)</v>
      </c>
      <c r="U39" s="2" t="str">
        <f>IFERROR(__xludf.DUMMYFUNCTION("""COMPUTED_VALUE"""),"Cable subterráneo (AAIERIC)")</f>
        <v>Cable subterráneo (AAIERIC)</v>
      </c>
    </row>
    <row r="40">
      <c r="E40" s="2" t="str">
        <f>IFERROR(__xludf.DUMMYFUNCTION("""COMPUTED_VALUE"""),"Cableado (AAIERIC)")</f>
        <v>Cableado (AAIERIC)</v>
      </c>
      <c r="F40" s="2" t="str">
        <f>IFERROR(__xludf.DUMMYFUNCTION("""COMPUTED_VALUE"""),"Cableado (AAIERIC)")</f>
        <v>Cableado (AAIERIC)</v>
      </c>
      <c r="G40" s="2" t="str">
        <f>IFERROR(__xludf.DUMMYFUNCTION("""COMPUTED_VALUE"""),"Cableado (AAIERIC)")</f>
        <v>Cableado (AAIERIC)</v>
      </c>
      <c r="H40" s="2" t="str">
        <f>IFERROR(__xludf.DUMMYFUNCTION("""COMPUTED_VALUE"""),"Cableado (AAIERIC)")</f>
        <v>Cableado (AAIERIC)</v>
      </c>
      <c r="I40" s="2" t="str">
        <f>IFERROR(__xludf.DUMMYFUNCTION("""COMPUTED_VALUE"""),"Cableado (AAIERIC)")</f>
        <v>Cableado (AAIERIC)</v>
      </c>
      <c r="J40" s="2" t="str">
        <f>IFERROR(__xludf.DUMMYFUNCTION("""COMPUTED_VALUE"""),"Cableado (AAIERIC)")</f>
        <v>Cableado (AAIERIC)</v>
      </c>
      <c r="K40" s="2" t="str">
        <f>IFERROR(__xludf.DUMMYFUNCTION("""COMPUTED_VALUE"""),"Cableado (AAIERIC)")</f>
        <v>Cableado (AAIERIC)</v>
      </c>
      <c r="L40" s="2" t="str">
        <f>IFERROR(__xludf.DUMMYFUNCTION("""COMPUTED_VALUE"""),"Cableado (AAIERIC)")</f>
        <v>Cableado (AAIERIC)</v>
      </c>
      <c r="M40" s="2" t="str">
        <f>IFERROR(__xludf.DUMMYFUNCTION("""COMPUTED_VALUE"""),"Cableado (AAIERIC)")</f>
        <v>Cableado (AAIERIC)</v>
      </c>
      <c r="N40" s="2" t="str">
        <f>IFERROR(__xludf.DUMMYFUNCTION("""COMPUTED_VALUE"""),"Cableado (AAIERIC)")</f>
        <v>Cableado (AAIERIC)</v>
      </c>
      <c r="O40" s="2" t="str">
        <f>IFERROR(__xludf.DUMMYFUNCTION("""COMPUTED_VALUE"""),"Cableado (AAIERIC)")</f>
        <v>Cableado (AAIERIC)</v>
      </c>
      <c r="P40" s="2" t="str">
        <f>IFERROR(__xludf.DUMMYFUNCTION("""COMPUTED_VALUE"""),"Cableado (AAIERIC)")</f>
        <v>Cableado (AAIERIC)</v>
      </c>
      <c r="Q40" s="2" t="str">
        <f>IFERROR(__xludf.DUMMYFUNCTION("""COMPUTED_VALUE"""),"Cableado (AAIERIC)")</f>
        <v>Cableado (AAIERIC)</v>
      </c>
      <c r="R40" s="2" t="str">
        <f>IFERROR(__xludf.DUMMYFUNCTION("""COMPUTED_VALUE"""),"Cableado (AAIERIC)")</f>
        <v>Cableado (AAIERIC)</v>
      </c>
      <c r="S40" s="2" t="str">
        <f>IFERROR(__xludf.DUMMYFUNCTION("""COMPUTED_VALUE"""),"Cableado (AAIERIC)")</f>
        <v>Cableado (AAIERIC)</v>
      </c>
      <c r="T40" s="2" t="str">
        <f>IFERROR(__xludf.DUMMYFUNCTION("""COMPUTED_VALUE"""),"Cableado (AAIERIC)")</f>
        <v>Cableado (AAIERIC)</v>
      </c>
      <c r="U40" s="2" t="str">
        <f>IFERROR(__xludf.DUMMYFUNCTION("""COMPUTED_VALUE"""),"Cableado (AAIERIC)")</f>
        <v>Cableado (AAIERIC)</v>
      </c>
    </row>
    <row r="41">
      <c r="E41" s="2" t="str">
        <f>IFERROR(__xludf.DUMMYFUNCTION("""COMPUTED_VALUE"""),"Conexión de Puntos y Tomas (AAIERIC)")</f>
        <v>Conexión de Puntos y Tomas (AAIERIC)</v>
      </c>
      <c r="F41" s="2" t="str">
        <f>IFERROR(__xludf.DUMMYFUNCTION("""COMPUTED_VALUE"""),"Conexión de Puntos y Tomas (AAIERIC)")</f>
        <v>Conexión de Puntos y Tomas (AAIERIC)</v>
      </c>
      <c r="G41" s="2" t="str">
        <f>IFERROR(__xludf.DUMMYFUNCTION("""COMPUTED_VALUE"""),"Conexión de Puntos y Tomas (AAIERIC)")</f>
        <v>Conexión de Puntos y Tomas (AAIERIC)</v>
      </c>
      <c r="H41" s="2" t="str">
        <f>IFERROR(__xludf.DUMMYFUNCTION("""COMPUTED_VALUE"""),"Conexión de Puntos y Tomas (AAIERIC)")</f>
        <v>Conexión de Puntos y Tomas (AAIERIC)</v>
      </c>
      <c r="I41" s="2" t="str">
        <f>IFERROR(__xludf.DUMMYFUNCTION("""COMPUTED_VALUE"""),"Conexión de Puntos y Tomas (AAIERIC)")</f>
        <v>Conexión de Puntos y Tomas (AAIERIC)</v>
      </c>
      <c r="J41" s="2" t="str">
        <f>IFERROR(__xludf.DUMMYFUNCTION("""COMPUTED_VALUE"""),"Conexión de Puntos y Tomas (AAIERIC)")</f>
        <v>Conexión de Puntos y Tomas (AAIERIC)</v>
      </c>
      <c r="K41" s="2" t="str">
        <f>IFERROR(__xludf.DUMMYFUNCTION("""COMPUTED_VALUE"""),"Conexión de Puntos y Tomas (AAIERIC)")</f>
        <v>Conexión de Puntos y Tomas (AAIERIC)</v>
      </c>
      <c r="L41" s="2" t="str">
        <f>IFERROR(__xludf.DUMMYFUNCTION("""COMPUTED_VALUE"""),"Conexión de Puntos y Tomas (AAIERIC)")</f>
        <v>Conexión de Puntos y Tomas (AAIERIC)</v>
      </c>
      <c r="M41" s="2" t="str">
        <f>IFERROR(__xludf.DUMMYFUNCTION("""COMPUTED_VALUE"""),"Conexión de Puntos y Tomas (AAIERIC)")</f>
        <v>Conexión de Puntos y Tomas (AAIERIC)</v>
      </c>
      <c r="N41" s="2" t="str">
        <f>IFERROR(__xludf.DUMMYFUNCTION("""COMPUTED_VALUE"""),"Conexión de Puntos y Tomas (AAIERIC)")</f>
        <v>Conexión de Puntos y Tomas (AAIERIC)</v>
      </c>
      <c r="O41" s="2" t="str">
        <f>IFERROR(__xludf.DUMMYFUNCTION("""COMPUTED_VALUE"""),"Conexión de Puntos y Tomas (AAIERIC)")</f>
        <v>Conexión de Puntos y Tomas (AAIERIC)</v>
      </c>
      <c r="P41" s="2" t="str">
        <f>IFERROR(__xludf.DUMMYFUNCTION("""COMPUTED_VALUE"""),"Conexión de Puntos y Tomas (AAIERIC)")</f>
        <v>Conexión de Puntos y Tomas (AAIERIC)</v>
      </c>
      <c r="Q41" s="2" t="str">
        <f>IFERROR(__xludf.DUMMYFUNCTION("""COMPUTED_VALUE"""),"Conexión de Puntos y Tomas (AAIERIC)")</f>
        <v>Conexión de Puntos y Tomas (AAIERIC)</v>
      </c>
      <c r="R41" s="2" t="str">
        <f>IFERROR(__xludf.DUMMYFUNCTION("""COMPUTED_VALUE"""),"Conexión de Puntos y Tomas (AAIERIC)")</f>
        <v>Conexión de Puntos y Tomas (AAIERIC)</v>
      </c>
      <c r="S41" s="2" t="str">
        <f>IFERROR(__xludf.DUMMYFUNCTION("""COMPUTED_VALUE"""),"Conexión de Puntos y Tomas (AAIERIC)")</f>
        <v>Conexión de Puntos y Tomas (AAIERIC)</v>
      </c>
      <c r="T41" s="2" t="str">
        <f>IFERROR(__xludf.DUMMYFUNCTION("""COMPUTED_VALUE"""),"Conexión de Puntos y Tomas (AAIERIC)")</f>
        <v>Conexión de Puntos y Tomas (AAIERIC)</v>
      </c>
      <c r="U41" s="2" t="str">
        <f>IFERROR(__xludf.DUMMYFUNCTION("""COMPUTED_VALUE"""),"Conexión de Puntos y Tomas (AAIERIC)")</f>
        <v>Conexión de Puntos y Tomas (AAIERIC)</v>
      </c>
    </row>
    <row r="42">
      <c r="E42" s="2" t="str">
        <f>IFERROR(__xludf.DUMMYFUNCTION("""COMPUTED_VALUE"""),"Tableros (AAIERIC)")</f>
        <v>Tableros (AAIERIC)</v>
      </c>
      <c r="F42" s="2" t="str">
        <f>IFERROR(__xludf.DUMMYFUNCTION("""COMPUTED_VALUE"""),"Tableros (AAIERIC)")</f>
        <v>Tableros (AAIERIC)</v>
      </c>
      <c r="G42" s="2" t="str">
        <f>IFERROR(__xludf.DUMMYFUNCTION("""COMPUTED_VALUE"""),"Tableros (AAIERIC)")</f>
        <v>Tableros (AAIERIC)</v>
      </c>
      <c r="H42" s="2" t="str">
        <f>IFERROR(__xludf.DUMMYFUNCTION("""COMPUTED_VALUE"""),"Tableros (AAIERIC)")</f>
        <v>Tableros (AAIERIC)</v>
      </c>
      <c r="I42" s="2" t="str">
        <f>IFERROR(__xludf.DUMMYFUNCTION("""COMPUTED_VALUE"""),"Tableros (AAIERIC)")</f>
        <v>Tableros (AAIERIC)</v>
      </c>
      <c r="J42" s="2" t="str">
        <f>IFERROR(__xludf.DUMMYFUNCTION("""COMPUTED_VALUE"""),"Tableros (AAIERIC)")</f>
        <v>Tableros (AAIERIC)</v>
      </c>
      <c r="K42" s="2" t="str">
        <f>IFERROR(__xludf.DUMMYFUNCTION("""COMPUTED_VALUE"""),"Tableros (AAIERIC)")</f>
        <v>Tableros (AAIERIC)</v>
      </c>
      <c r="L42" s="2" t="str">
        <f>IFERROR(__xludf.DUMMYFUNCTION("""COMPUTED_VALUE"""),"Tableros (AAIERIC)")</f>
        <v>Tableros (AAIERIC)</v>
      </c>
      <c r="M42" s="2" t="str">
        <f>IFERROR(__xludf.DUMMYFUNCTION("""COMPUTED_VALUE"""),"Tableros (AAIERIC)")</f>
        <v>Tableros (AAIERIC)</v>
      </c>
      <c r="N42" s="2" t="str">
        <f>IFERROR(__xludf.DUMMYFUNCTION("""COMPUTED_VALUE"""),"Tableros (AAIERIC)")</f>
        <v>Tableros (AAIERIC)</v>
      </c>
      <c r="O42" s="2" t="str">
        <f>IFERROR(__xludf.DUMMYFUNCTION("""COMPUTED_VALUE"""),"Tableros (AAIERIC)")</f>
        <v>Tableros (AAIERIC)</v>
      </c>
      <c r="P42" s="2" t="str">
        <f>IFERROR(__xludf.DUMMYFUNCTION("""COMPUTED_VALUE"""),"Tableros (AAIERIC)")</f>
        <v>Tableros (AAIERIC)</v>
      </c>
      <c r="Q42" s="2" t="str">
        <f>IFERROR(__xludf.DUMMYFUNCTION("""COMPUTED_VALUE"""),"Tableros (AAIERIC)")</f>
        <v>Tableros (AAIERIC)</v>
      </c>
      <c r="R42" s="2" t="str">
        <f>IFERROR(__xludf.DUMMYFUNCTION("""COMPUTED_VALUE"""),"Tableros (AAIERIC)")</f>
        <v>Tableros (AAIERIC)</v>
      </c>
      <c r="S42" s="2" t="str">
        <f>IFERROR(__xludf.DUMMYFUNCTION("""COMPUTED_VALUE"""),"Tableros (AAIERIC)")</f>
        <v>Tableros (AAIERIC)</v>
      </c>
      <c r="T42" s="2" t="str">
        <f>IFERROR(__xludf.DUMMYFUNCTION("""COMPUTED_VALUE"""),"Tableros (AAIERIC)")</f>
        <v>Tableros (AAIERIC)</v>
      </c>
      <c r="U42" s="2" t="str">
        <f>IFERROR(__xludf.DUMMYFUNCTION("""COMPUTED_VALUE"""),"Tableros (AAIERIC)")</f>
        <v>Tableros (AAIERIC)</v>
      </c>
    </row>
    <row r="43">
      <c r="E43" s="2" t="str">
        <f>IFERROR(__xludf.DUMMYFUNCTION("""COMPUTED_VALUE"""),"Colocación de Artefactos de iluminación y otros (AAIERIC)")</f>
        <v>Colocación de Artefactos de iluminación y otros (AAIERIC)</v>
      </c>
      <c r="F43" s="2" t="str">
        <f>IFERROR(__xludf.DUMMYFUNCTION("""COMPUTED_VALUE"""),"Colocación de Artefactos de iluminación y otros (AAIERIC)")</f>
        <v>Colocación de Artefactos de iluminación y otros (AAIERIC)</v>
      </c>
      <c r="G43" s="2" t="str">
        <f>IFERROR(__xludf.DUMMYFUNCTION("""COMPUTED_VALUE"""),"Colocación de Artefactos de iluminación y otros (AAIERIC)")</f>
        <v>Colocación de Artefactos de iluminación y otros (AAIERIC)</v>
      </c>
      <c r="H43" s="2" t="str">
        <f>IFERROR(__xludf.DUMMYFUNCTION("""COMPUTED_VALUE"""),"Colocación de Artefactos de iluminación y otros (AAIERIC)")</f>
        <v>Colocación de Artefactos de iluminación y otros (AAIERIC)</v>
      </c>
      <c r="I43" s="2" t="str">
        <f>IFERROR(__xludf.DUMMYFUNCTION("""COMPUTED_VALUE"""),"Colocación de Artefactos de iluminación y otros (AAIERIC)")</f>
        <v>Colocación de Artefactos de iluminación y otros (AAIERIC)</v>
      </c>
      <c r="J43" s="2" t="str">
        <f>IFERROR(__xludf.DUMMYFUNCTION("""COMPUTED_VALUE"""),"Colocación de Artefactos de iluminación y otros (AAIERIC)")</f>
        <v>Colocación de Artefactos de iluminación y otros (AAIERIC)</v>
      </c>
      <c r="K43" s="2" t="str">
        <f>IFERROR(__xludf.DUMMYFUNCTION("""COMPUTED_VALUE"""),"Colocación de Artefactos de iluminación y otros (AAIERIC)")</f>
        <v>Colocación de Artefactos de iluminación y otros (AAIERIC)</v>
      </c>
      <c r="L43" s="2" t="str">
        <f>IFERROR(__xludf.DUMMYFUNCTION("""COMPUTED_VALUE"""),"Colocación de Artefactos de iluminación y otros (AAIERIC)")</f>
        <v>Colocación de Artefactos de iluminación y otros (AAIERIC)</v>
      </c>
      <c r="M43" s="2" t="str">
        <f>IFERROR(__xludf.DUMMYFUNCTION("""COMPUTED_VALUE"""),"Colocación de Artefactos de iluminación y otros (AAIERIC)")</f>
        <v>Colocación de Artefactos de iluminación y otros (AAIERIC)</v>
      </c>
      <c r="N43" s="2" t="str">
        <f>IFERROR(__xludf.DUMMYFUNCTION("""COMPUTED_VALUE"""),"Colocación de Artefactos de iluminación y otros (AAIERIC)")</f>
        <v>Colocación de Artefactos de iluminación y otros (AAIERIC)</v>
      </c>
      <c r="O43" s="2" t="str">
        <f>IFERROR(__xludf.DUMMYFUNCTION("""COMPUTED_VALUE"""),"Colocación de Artefactos de iluminación y otros (AAIERIC)")</f>
        <v>Colocación de Artefactos de iluminación y otros (AAIERIC)</v>
      </c>
      <c r="P43" s="2" t="str">
        <f>IFERROR(__xludf.DUMMYFUNCTION("""COMPUTED_VALUE"""),"Colocación de Artefactos de iluminación y otros (AAIERIC)")</f>
        <v>Colocación de Artefactos de iluminación y otros (AAIERIC)</v>
      </c>
      <c r="Q43" s="2" t="str">
        <f>IFERROR(__xludf.DUMMYFUNCTION("""COMPUTED_VALUE"""),"Colocación de Artefactos de iluminación y otros (AAIERIC)")</f>
        <v>Colocación de Artefactos de iluminación y otros (AAIERIC)</v>
      </c>
      <c r="R43" s="2" t="str">
        <f>IFERROR(__xludf.DUMMYFUNCTION("""COMPUTED_VALUE"""),"Colocación de Artefactos de iluminación y otros (AAIERIC)")</f>
        <v>Colocación de Artefactos de iluminación y otros (AAIERIC)</v>
      </c>
      <c r="S43" s="2" t="str">
        <f>IFERROR(__xludf.DUMMYFUNCTION("""COMPUTED_VALUE"""),"Colocación de Artefactos de iluminación y otros (AAIERIC)")</f>
        <v>Colocación de Artefactos de iluminación y otros (AAIERIC)</v>
      </c>
      <c r="T43" s="2" t="str">
        <f>IFERROR(__xludf.DUMMYFUNCTION("""COMPUTED_VALUE"""),"Colocación de Artefactos de iluminación y otros (AAIERIC)")</f>
        <v>Colocación de Artefactos de iluminación y otros (AAIERIC)</v>
      </c>
      <c r="U43" s="2" t="str">
        <f>IFERROR(__xludf.DUMMYFUNCTION("""COMPUTED_VALUE"""),"Colocación de Artefactos de iluminación y otros (AAIERIC)")</f>
        <v>Colocación de Artefactos de iluminación y otros (AAIERIC)</v>
      </c>
    </row>
    <row r="44">
      <c r="E44" s="2" t="str">
        <f>IFERROR(__xludf.DUMMYFUNCTION("""COMPUTED_VALUE"""),"Acometida (amurado + conexión)")</f>
        <v>Acometida (amurado + conexión)</v>
      </c>
      <c r="F44" s="2" t="str">
        <f>IFERROR(__xludf.DUMMYFUNCTION("""COMPUTED_VALUE"""),"Acometida (amurado + conexión)")</f>
        <v>Acometida (amurado + conexión)</v>
      </c>
      <c r="G44" s="2" t="str">
        <f>IFERROR(__xludf.DUMMYFUNCTION("""COMPUTED_VALUE"""),"Acometida (amurado + conexión)")</f>
        <v>Acometida (amurado + conexión)</v>
      </c>
      <c r="H44" s="2" t="str">
        <f>IFERROR(__xludf.DUMMYFUNCTION("""COMPUTED_VALUE"""),"Acometida (amurado + conexión)")</f>
        <v>Acometida (amurado + conexión)</v>
      </c>
      <c r="I44" s="2" t="str">
        <f>IFERROR(__xludf.DUMMYFUNCTION("""COMPUTED_VALUE"""),"Acometida (amurado + conexión)")</f>
        <v>Acometida (amurado + conexión)</v>
      </c>
      <c r="J44" s="2" t="str">
        <f>IFERROR(__xludf.DUMMYFUNCTION("""COMPUTED_VALUE"""),"Acometida (amurado + conexión)")</f>
        <v>Acometida (amurado + conexión)</v>
      </c>
      <c r="K44" s="2" t="str">
        <f>IFERROR(__xludf.DUMMYFUNCTION("""COMPUTED_VALUE"""),"Acometida (amurado + conexión)")</f>
        <v>Acometida (amurado + conexión)</v>
      </c>
      <c r="L44" s="2" t="str">
        <f>IFERROR(__xludf.DUMMYFUNCTION("""COMPUTED_VALUE"""),"Acometida (amurado + conexión)")</f>
        <v>Acometida (amurado + conexión)</v>
      </c>
      <c r="M44" s="2" t="str">
        <f>IFERROR(__xludf.DUMMYFUNCTION("""COMPUTED_VALUE"""),"Acometida (amurado + conexión)")</f>
        <v>Acometida (amurado + conexión)</v>
      </c>
      <c r="N44" s="2" t="str">
        <f>IFERROR(__xludf.DUMMYFUNCTION("""COMPUTED_VALUE"""),"Acometida (amurado + conexión)")</f>
        <v>Acometida (amurado + conexión)</v>
      </c>
      <c r="O44" s="2" t="str">
        <f>IFERROR(__xludf.DUMMYFUNCTION("""COMPUTED_VALUE"""),"Acometida (amurado + conexión)")</f>
        <v>Acometida (amurado + conexión)</v>
      </c>
      <c r="P44" s="2" t="str">
        <f>IFERROR(__xludf.DUMMYFUNCTION("""COMPUTED_VALUE"""),"Acometida (amurado + conexión)")</f>
        <v>Acometida (amurado + conexión)</v>
      </c>
      <c r="Q44" s="2" t="str">
        <f>IFERROR(__xludf.DUMMYFUNCTION("""COMPUTED_VALUE"""),"Acometida (amurado + conexión)")</f>
        <v>Acometida (amurado + conexión)</v>
      </c>
      <c r="R44" s="2" t="str">
        <f>IFERROR(__xludf.DUMMYFUNCTION("""COMPUTED_VALUE"""),"Acometida (amurado + conexión)")</f>
        <v>Acometida (amurado + conexión)</v>
      </c>
      <c r="S44" s="2" t="str">
        <f>IFERROR(__xludf.DUMMYFUNCTION("""COMPUTED_VALUE"""),"Acometida (amurado + conexión)")</f>
        <v>Acometida (amurado + conexión)</v>
      </c>
      <c r="T44" s="2" t="str">
        <f>IFERROR(__xludf.DUMMYFUNCTION("""COMPUTED_VALUE"""),"Acometida (amurado + conexión)")</f>
        <v>Acometida (amurado + conexión)</v>
      </c>
      <c r="U44" s="2" t="str">
        <f>IFERROR(__xludf.DUMMYFUNCTION("""COMPUTED_VALUE"""),"Acometida (amurado + conexión)")</f>
        <v>Acometida (amurado + conexión)</v>
      </c>
    </row>
    <row r="45">
      <c r="E45" s="2" t="str">
        <f>IFERROR(__xludf.DUMMYFUNCTION("""COMPUTED_VALUE"""),"Bandejas Portacables x metro (AAIERIC)")</f>
        <v>Bandejas Portacables x metro (AAIERIC)</v>
      </c>
      <c r="F45" s="2" t="str">
        <f>IFERROR(__xludf.DUMMYFUNCTION("""COMPUTED_VALUE"""),"Bandejas Portacables x metro (AAIERIC)")</f>
        <v>Bandejas Portacables x metro (AAIERIC)</v>
      </c>
      <c r="G45" s="2" t="str">
        <f>IFERROR(__xludf.DUMMYFUNCTION("""COMPUTED_VALUE"""),"Bandejas Portacables x metro (AAIERIC)")</f>
        <v>Bandejas Portacables x metro (AAIERIC)</v>
      </c>
      <c r="H45" s="2" t="str">
        <f>IFERROR(__xludf.DUMMYFUNCTION("""COMPUTED_VALUE"""),"Bandejas Portacables x metro (AAIERIC)")</f>
        <v>Bandejas Portacables x metro (AAIERIC)</v>
      </c>
      <c r="I45" s="2" t="str">
        <f>IFERROR(__xludf.DUMMYFUNCTION("""COMPUTED_VALUE"""),"Bandejas Portacables x metro (AAIERIC)")</f>
        <v>Bandejas Portacables x metro (AAIERIC)</v>
      </c>
      <c r="J45" s="2" t="str">
        <f>IFERROR(__xludf.DUMMYFUNCTION("""COMPUTED_VALUE"""),"Bandejas Portacables x metro (AAIERIC)")</f>
        <v>Bandejas Portacables x metro (AAIERIC)</v>
      </c>
      <c r="K45" s="2" t="str">
        <f>IFERROR(__xludf.DUMMYFUNCTION("""COMPUTED_VALUE"""),"Bandejas Portacables x metro (AAIERIC)")</f>
        <v>Bandejas Portacables x metro (AAIERIC)</v>
      </c>
      <c r="L45" s="2" t="str">
        <f>IFERROR(__xludf.DUMMYFUNCTION("""COMPUTED_VALUE"""),"Bandejas Portacables x metro (AAIERIC)")</f>
        <v>Bandejas Portacables x metro (AAIERIC)</v>
      </c>
      <c r="M45" s="2" t="str">
        <f>IFERROR(__xludf.DUMMYFUNCTION("""COMPUTED_VALUE"""),"Bandejas Portacables x metro (AAIERIC)")</f>
        <v>Bandejas Portacables x metro (AAIERIC)</v>
      </c>
      <c r="N45" s="2" t="str">
        <f>IFERROR(__xludf.DUMMYFUNCTION("""COMPUTED_VALUE"""),"Bandejas Portacables x metro (AAIERIC)")</f>
        <v>Bandejas Portacables x metro (AAIERIC)</v>
      </c>
      <c r="O45" s="2" t="str">
        <f>IFERROR(__xludf.DUMMYFUNCTION("""COMPUTED_VALUE"""),"Bandejas Portacables x metro (AAIERIC)")</f>
        <v>Bandejas Portacables x metro (AAIERIC)</v>
      </c>
      <c r="P45" s="2" t="str">
        <f>IFERROR(__xludf.DUMMYFUNCTION("""COMPUTED_VALUE"""),"Bandejas Portacables x metro (AAIERIC)")</f>
        <v>Bandejas Portacables x metro (AAIERIC)</v>
      </c>
      <c r="Q45" s="2" t="str">
        <f>IFERROR(__xludf.DUMMYFUNCTION("""COMPUTED_VALUE"""),"Bandejas Portacables x metro (AAIERIC)")</f>
        <v>Bandejas Portacables x metro (AAIERIC)</v>
      </c>
      <c r="R45" s="2" t="str">
        <f>IFERROR(__xludf.DUMMYFUNCTION("""COMPUTED_VALUE"""),"Bandejas Portacables x metro (AAIERIC)")</f>
        <v>Bandejas Portacables x metro (AAIERIC)</v>
      </c>
      <c r="S45" s="2" t="str">
        <f>IFERROR(__xludf.DUMMYFUNCTION("""COMPUTED_VALUE"""),"Bandejas Portacables x metro (AAIERIC)")</f>
        <v>Bandejas Portacables x metro (AAIERIC)</v>
      </c>
      <c r="T45" s="2" t="str">
        <f>IFERROR(__xludf.DUMMYFUNCTION("""COMPUTED_VALUE"""),"Bandejas Portacables x metro (AAIERIC)")</f>
        <v>Bandejas Portacables x metro (AAIERIC)</v>
      </c>
      <c r="U45" s="2" t="str">
        <f>IFERROR(__xludf.DUMMYFUNCTION("""COMPUTED_VALUE"""),"Bandejas Portacables x metro (AAIERIC)")</f>
        <v>Bandejas Portacables x metro (AAIERIC)</v>
      </c>
    </row>
    <row r="46">
      <c r="E46" s="2"/>
      <c r="F46" s="2"/>
      <c r="G46" s="2"/>
      <c r="H46" s="2"/>
      <c r="I46" s="2"/>
      <c r="J46" s="2"/>
      <c r="K46" s="2"/>
      <c r="L46" s="2"/>
      <c r="M46" s="2"/>
      <c r="N46" s="2"/>
      <c r="O46" s="2"/>
      <c r="P46" s="2"/>
      <c r="Q46" s="2"/>
      <c r="R46" s="2"/>
      <c r="S46" s="2"/>
      <c r="T46" s="2"/>
      <c r="U46" s="2"/>
    </row>
    <row r="47">
      <c r="E47" s="2"/>
      <c r="F47" s="2"/>
      <c r="G47" s="2"/>
      <c r="H47" s="2"/>
      <c r="I47" s="2"/>
      <c r="J47" s="2"/>
      <c r="K47" s="2"/>
      <c r="L47" s="2"/>
      <c r="M47" s="2"/>
      <c r="N47" s="2"/>
      <c r="O47" s="2"/>
      <c r="P47" s="2"/>
      <c r="Q47" s="2"/>
      <c r="R47" s="2"/>
      <c r="S47" s="2"/>
      <c r="T47" s="2"/>
      <c r="U47" s="2"/>
    </row>
    <row r="48">
      <c r="E48" s="2"/>
      <c r="F48" s="2"/>
      <c r="G48" s="2"/>
      <c r="H48" s="2"/>
      <c r="I48" s="2"/>
      <c r="J48" s="2"/>
      <c r="K48" s="2"/>
      <c r="L48" s="2"/>
      <c r="M48" s="2"/>
      <c r="N48" s="2"/>
      <c r="O48" s="2"/>
      <c r="P48" s="2"/>
      <c r="Q48" s="2"/>
      <c r="R48" s="2"/>
      <c r="S48" s="2"/>
      <c r="T48" s="2"/>
      <c r="U48" s="2"/>
    </row>
    <row r="49">
      <c r="E49" s="2"/>
      <c r="F49" s="2"/>
      <c r="G49" s="2"/>
      <c r="H49" s="2"/>
      <c r="I49" s="2"/>
      <c r="J49" s="2"/>
      <c r="K49" s="2"/>
      <c r="L49" s="2"/>
      <c r="M49" s="2"/>
      <c r="N49" s="2"/>
      <c r="O49" s="2"/>
      <c r="P49" s="2"/>
      <c r="Q49" s="2"/>
      <c r="R49" s="2"/>
      <c r="S49" s="2"/>
      <c r="T49" s="2"/>
      <c r="U49" s="2"/>
    </row>
    <row r="50">
      <c r="E50" s="2"/>
      <c r="F50" s="2"/>
      <c r="G50" s="2"/>
      <c r="H50" s="2"/>
      <c r="I50" s="2"/>
      <c r="J50" s="2"/>
      <c r="K50" s="2"/>
      <c r="L50" s="2"/>
      <c r="M50" s="2"/>
      <c r="N50" s="2"/>
      <c r="O50" s="2"/>
      <c r="P50" s="2"/>
      <c r="Q50" s="2"/>
      <c r="R50" s="2"/>
      <c r="S50" s="2"/>
      <c r="T50" s="2"/>
      <c r="U50" s="2"/>
    </row>
    <row r="51">
      <c r="E51" s="2"/>
      <c r="F51" s="2"/>
      <c r="G51" s="2"/>
      <c r="H51" s="2"/>
      <c r="I51" s="2"/>
      <c r="J51" s="2"/>
      <c r="K51" s="2"/>
      <c r="L51" s="2"/>
      <c r="M51" s="2"/>
      <c r="N51" s="2"/>
      <c r="O51" s="2"/>
      <c r="P51" s="2"/>
      <c r="Q51" s="2"/>
      <c r="R51" s="2"/>
      <c r="S51" s="2"/>
      <c r="T51" s="2"/>
      <c r="U51" s="2"/>
    </row>
    <row r="52">
      <c r="E52" s="2"/>
      <c r="F52" s="2"/>
      <c r="G52" s="2"/>
      <c r="H52" s="2"/>
      <c r="I52" s="2"/>
      <c r="J52" s="2"/>
      <c r="K52" s="2"/>
      <c r="L52" s="2"/>
      <c r="M52" s="2"/>
      <c r="N52" s="2"/>
      <c r="O52" s="2"/>
      <c r="P52" s="2"/>
      <c r="Q52" s="2"/>
      <c r="R52" s="2"/>
      <c r="S52" s="2"/>
      <c r="T52" s="2"/>
      <c r="U52" s="2"/>
    </row>
    <row r="53">
      <c r="E53" s="2"/>
      <c r="F53" s="2"/>
      <c r="G53" s="2"/>
      <c r="H53" s="2"/>
      <c r="I53" s="2"/>
      <c r="J53" s="2"/>
      <c r="K53" s="2"/>
      <c r="L53" s="2"/>
      <c r="M53" s="2"/>
      <c r="N53" s="2"/>
      <c r="O53" s="2"/>
      <c r="P53" s="2"/>
      <c r="Q53" s="2"/>
      <c r="R53" s="2"/>
      <c r="S53" s="2"/>
      <c r="T53" s="2"/>
      <c r="U53" s="2"/>
    </row>
    <row r="54">
      <c r="E54" s="2"/>
      <c r="F54" s="2"/>
      <c r="G54" s="2"/>
      <c r="H54" s="2"/>
      <c r="I54" s="2"/>
      <c r="J54" s="2"/>
      <c r="K54" s="2"/>
      <c r="L54" s="2"/>
      <c r="M54" s="2"/>
      <c r="N54" s="2"/>
      <c r="O54" s="2"/>
      <c r="P54" s="2"/>
      <c r="Q54" s="2"/>
      <c r="R54" s="2"/>
      <c r="S54" s="2"/>
      <c r="T54" s="2"/>
      <c r="U54" s="2"/>
    </row>
    <row r="55">
      <c r="E55" s="2"/>
      <c r="F55" s="2"/>
      <c r="G55" s="2"/>
      <c r="H55" s="2"/>
      <c r="I55" s="2"/>
      <c r="J55" s="2"/>
      <c r="K55" s="2"/>
      <c r="L55" s="2"/>
      <c r="M55" s="2"/>
      <c r="N55" s="2"/>
      <c r="O55" s="2"/>
      <c r="P55" s="2"/>
      <c r="Q55" s="2"/>
      <c r="R55" s="2"/>
      <c r="S55" s="2"/>
      <c r="T55" s="2"/>
      <c r="U55" s="2"/>
    </row>
    <row r="56">
      <c r="E56" s="2"/>
      <c r="F56" s="2"/>
      <c r="G56" s="2"/>
      <c r="H56" s="2"/>
      <c r="I56" s="2"/>
      <c r="J56" s="2"/>
      <c r="K56" s="2"/>
      <c r="L56" s="2"/>
      <c r="M56" s="2"/>
      <c r="N56" s="2"/>
      <c r="O56" s="2"/>
      <c r="P56" s="2"/>
      <c r="Q56" s="2"/>
      <c r="R56" s="2"/>
      <c r="S56" s="2"/>
      <c r="T56" s="2"/>
      <c r="U56" s="2"/>
    </row>
    <row r="57">
      <c r="E57" s="2"/>
      <c r="F57" s="2"/>
      <c r="G57" s="2"/>
      <c r="H57" s="2"/>
      <c r="I57" s="2"/>
      <c r="J57" s="2"/>
      <c r="K57" s="2"/>
      <c r="L57" s="2"/>
      <c r="M57" s="2"/>
      <c r="N57" s="2"/>
      <c r="O57" s="2"/>
      <c r="P57" s="2"/>
      <c r="Q57" s="2"/>
      <c r="R57" s="2"/>
      <c r="S57" s="2"/>
      <c r="T57" s="2"/>
      <c r="U57" s="2"/>
    </row>
    <row r="58">
      <c r="E58" s="2"/>
      <c r="F58" s="2"/>
      <c r="G58" s="2"/>
      <c r="H58" s="2"/>
      <c r="I58" s="2"/>
      <c r="J58" s="2"/>
      <c r="K58" s="2"/>
      <c r="L58" s="2"/>
      <c r="M58" s="2"/>
      <c r="N58" s="2"/>
      <c r="O58" s="2"/>
      <c r="P58" s="2"/>
      <c r="Q58" s="2"/>
      <c r="R58" s="2"/>
      <c r="S58" s="2"/>
      <c r="T58" s="2"/>
      <c r="U58" s="2"/>
    </row>
    <row r="59">
      <c r="E59" s="2"/>
      <c r="F59" s="2"/>
      <c r="G59" s="2"/>
      <c r="H59" s="2"/>
      <c r="I59" s="2"/>
      <c r="J59" s="2"/>
      <c r="K59" s="2"/>
      <c r="L59" s="2"/>
      <c r="M59" s="2"/>
      <c r="N59" s="2"/>
      <c r="O59" s="2"/>
      <c r="P59" s="2"/>
      <c r="Q59" s="2"/>
      <c r="R59" s="2"/>
      <c r="S59" s="2"/>
      <c r="T59" s="2"/>
      <c r="U59" s="2"/>
    </row>
    <row r="60">
      <c r="E60" s="2"/>
      <c r="F60" s="2"/>
      <c r="G60" s="2"/>
      <c r="H60" s="2"/>
      <c r="I60" s="2"/>
      <c r="J60" s="2"/>
      <c r="K60" s="2"/>
      <c r="L60" s="2"/>
      <c r="M60" s="2"/>
      <c r="N60" s="2"/>
      <c r="O60" s="2"/>
      <c r="P60" s="2"/>
      <c r="Q60" s="2"/>
      <c r="R60" s="2"/>
      <c r="S60" s="2"/>
      <c r="T60" s="2"/>
      <c r="U60" s="2"/>
    </row>
    <row r="61">
      <c r="E61" s="2"/>
      <c r="F61" s="2"/>
      <c r="G61" s="2"/>
      <c r="H61" s="2"/>
      <c r="I61" s="2"/>
      <c r="J61" s="2"/>
      <c r="K61" s="2"/>
      <c r="L61" s="2"/>
      <c r="M61" s="2"/>
      <c r="N61" s="2"/>
      <c r="O61" s="2"/>
      <c r="P61" s="2"/>
      <c r="Q61" s="2"/>
      <c r="R61" s="2"/>
      <c r="S61" s="2"/>
      <c r="T61" s="2"/>
      <c r="U61" s="2"/>
    </row>
    <row r="62">
      <c r="E62" s="2"/>
      <c r="F62" s="2"/>
      <c r="G62" s="2"/>
      <c r="H62" s="2"/>
      <c r="I62" s="2"/>
      <c r="J62" s="2"/>
      <c r="K62" s="2"/>
      <c r="L62" s="2"/>
      <c r="M62" s="2"/>
      <c r="N62" s="2"/>
      <c r="O62" s="2"/>
      <c r="P62" s="2"/>
      <c r="Q62" s="2"/>
      <c r="R62" s="2"/>
      <c r="S62" s="2"/>
      <c r="T62" s="2"/>
      <c r="U62" s="2"/>
    </row>
    <row r="63">
      <c r="E63" s="2"/>
      <c r="F63" s="2"/>
      <c r="G63" s="2"/>
      <c r="H63" s="2"/>
      <c r="I63" s="2"/>
      <c r="J63" s="2"/>
      <c r="K63" s="2"/>
      <c r="L63" s="2"/>
      <c r="M63" s="2"/>
      <c r="N63" s="2"/>
      <c r="O63" s="2"/>
      <c r="P63" s="2"/>
      <c r="Q63" s="2"/>
      <c r="R63" s="2"/>
      <c r="S63" s="2"/>
      <c r="T63" s="2"/>
      <c r="U63" s="2"/>
    </row>
    <row r="64">
      <c r="E64" s="2"/>
      <c r="F64" s="2"/>
      <c r="G64" s="2"/>
      <c r="H64" s="2"/>
      <c r="I64" s="2"/>
      <c r="J64" s="2"/>
      <c r="K64" s="2"/>
      <c r="L64" s="2"/>
      <c r="M64" s="2"/>
      <c r="N64" s="2"/>
      <c r="O64" s="2"/>
      <c r="P64" s="2"/>
      <c r="Q64" s="2"/>
      <c r="R64" s="2"/>
      <c r="S64" s="2"/>
      <c r="T64" s="2"/>
      <c r="U64" s="2"/>
    </row>
    <row r="65">
      <c r="E65" s="2"/>
      <c r="F65" s="2"/>
      <c r="G65" s="2"/>
      <c r="H65" s="2"/>
      <c r="I65" s="2"/>
      <c r="J65" s="2"/>
      <c r="K65" s="2"/>
      <c r="L65" s="2"/>
      <c r="M65" s="2"/>
      <c r="N65" s="2"/>
      <c r="O65" s="2"/>
      <c r="P65" s="2"/>
      <c r="Q65" s="2"/>
      <c r="R65" s="2"/>
      <c r="S65" s="2"/>
      <c r="T65" s="2"/>
      <c r="U65" s="2"/>
    </row>
    <row r="66">
      <c r="E66" s="2"/>
      <c r="F66" s="2"/>
      <c r="G66" s="2"/>
      <c r="H66" s="2"/>
      <c r="I66" s="2"/>
      <c r="J66" s="2"/>
      <c r="K66" s="2"/>
      <c r="L66" s="2"/>
      <c r="M66" s="2"/>
      <c r="N66" s="2"/>
      <c r="O66" s="2"/>
      <c r="P66" s="2"/>
      <c r="Q66" s="2"/>
      <c r="R66" s="2"/>
      <c r="S66" s="2"/>
      <c r="T66" s="2"/>
      <c r="U66" s="2"/>
    </row>
    <row r="67">
      <c r="E67" s="2"/>
      <c r="F67" s="2"/>
      <c r="G67" s="2"/>
      <c r="H67" s="2"/>
      <c r="I67" s="2"/>
      <c r="J67" s="2"/>
      <c r="K67" s="2"/>
      <c r="L67" s="2"/>
      <c r="M67" s="2"/>
      <c r="N67" s="2"/>
      <c r="O67" s="2"/>
      <c r="P67" s="2"/>
      <c r="Q67" s="2"/>
      <c r="R67" s="2"/>
      <c r="S67" s="2"/>
      <c r="T67" s="2"/>
      <c r="U67" s="2"/>
    </row>
    <row r="68">
      <c r="E68" s="2"/>
      <c r="F68" s="2"/>
      <c r="G68" s="2"/>
      <c r="H68" s="2"/>
      <c r="I68" s="2"/>
      <c r="J68" s="2"/>
      <c r="K68" s="2"/>
      <c r="L68" s="2"/>
      <c r="M68" s="2"/>
      <c r="N68" s="2"/>
      <c r="O68" s="2"/>
      <c r="P68" s="2"/>
      <c r="Q68" s="2"/>
      <c r="R68" s="2"/>
      <c r="S68" s="2"/>
      <c r="T68" s="2"/>
      <c r="U68" s="2"/>
    </row>
    <row r="69">
      <c r="E69" s="2"/>
      <c r="F69" s="2"/>
      <c r="G69" s="2"/>
      <c r="H69" s="2"/>
      <c r="I69" s="2"/>
      <c r="J69" s="2"/>
      <c r="K69" s="2"/>
      <c r="L69" s="2"/>
      <c r="M69" s="2"/>
      <c r="N69" s="2"/>
      <c r="O69" s="2"/>
      <c r="P69" s="2"/>
      <c r="Q69" s="2"/>
      <c r="R69" s="2"/>
      <c r="S69" s="2"/>
      <c r="T69" s="2"/>
      <c r="U69" s="2"/>
    </row>
    <row r="70">
      <c r="E70" s="2"/>
      <c r="F70" s="2"/>
      <c r="G70" s="2"/>
      <c r="H70" s="2"/>
      <c r="I70" s="2"/>
      <c r="J70" s="2"/>
      <c r="K70" s="2"/>
      <c r="L70" s="2"/>
      <c r="M70" s="2"/>
      <c r="N70" s="2"/>
      <c r="O70" s="2"/>
      <c r="P70" s="2"/>
      <c r="Q70" s="2"/>
      <c r="R70" s="2"/>
      <c r="S70" s="2"/>
      <c r="T70" s="2"/>
      <c r="U70" s="2"/>
    </row>
    <row r="71">
      <c r="E71" s="2"/>
      <c r="F71" s="2"/>
      <c r="G71" s="2"/>
      <c r="H71" s="2"/>
      <c r="I71" s="2"/>
      <c r="J71" s="2"/>
      <c r="K71" s="2"/>
      <c r="L71" s="2"/>
      <c r="M71" s="2"/>
      <c r="N71" s="2"/>
      <c r="O71" s="2"/>
      <c r="P71" s="2"/>
      <c r="Q71" s="2"/>
      <c r="R71" s="2"/>
      <c r="S71" s="2"/>
      <c r="T71" s="2"/>
      <c r="U71" s="2"/>
    </row>
    <row r="72">
      <c r="E72" s="2"/>
      <c r="F72" s="2"/>
      <c r="G72" s="2"/>
      <c r="H72" s="2"/>
      <c r="I72" s="2"/>
      <c r="J72" s="2"/>
      <c r="K72" s="2"/>
      <c r="L72" s="2"/>
      <c r="M72" s="2"/>
      <c r="N72" s="2"/>
      <c r="O72" s="2"/>
      <c r="P72" s="2"/>
      <c r="Q72" s="2"/>
      <c r="R72" s="2"/>
      <c r="S72" s="2"/>
      <c r="T72" s="2"/>
      <c r="U72" s="2"/>
    </row>
    <row r="73">
      <c r="E73" s="2"/>
      <c r="F73" s="2"/>
      <c r="G73" s="2"/>
      <c r="H73" s="2"/>
      <c r="I73" s="2"/>
      <c r="J73" s="2"/>
      <c r="K73" s="2"/>
      <c r="L73" s="2"/>
      <c r="M73" s="2"/>
      <c r="N73" s="2"/>
      <c r="O73" s="2"/>
      <c r="P73" s="2"/>
      <c r="Q73" s="2"/>
      <c r="R73" s="2"/>
      <c r="S73" s="2"/>
      <c r="T73" s="2"/>
      <c r="U73" s="2"/>
    </row>
    <row r="74">
      <c r="E74" s="2"/>
      <c r="F74" s="2"/>
      <c r="G74" s="2"/>
      <c r="H74" s="2"/>
      <c r="I74" s="2"/>
      <c r="J74" s="2"/>
      <c r="K74" s="2"/>
      <c r="L74" s="2"/>
      <c r="M74" s="2"/>
      <c r="N74" s="2"/>
      <c r="O74" s="2"/>
      <c r="P74" s="2"/>
      <c r="Q74" s="2"/>
      <c r="R74" s="2"/>
      <c r="S74" s="2"/>
      <c r="T74" s="2"/>
      <c r="U74" s="2"/>
    </row>
    <row r="75">
      <c r="E75" s="2"/>
      <c r="F75" s="2"/>
      <c r="G75" s="2"/>
      <c r="H75" s="2"/>
      <c r="I75" s="2"/>
      <c r="J75" s="2"/>
      <c r="K75" s="2"/>
      <c r="L75" s="2"/>
      <c r="M75" s="2"/>
      <c r="N75" s="2"/>
      <c r="O75" s="2"/>
      <c r="P75" s="2"/>
      <c r="Q75" s="2"/>
      <c r="R75" s="2"/>
      <c r="S75" s="2"/>
      <c r="T75" s="2"/>
      <c r="U75" s="2"/>
    </row>
    <row r="76">
      <c r="E76" s="2"/>
      <c r="F76" s="2"/>
      <c r="G76" s="2"/>
      <c r="H76" s="2"/>
      <c r="I76" s="2"/>
      <c r="J76" s="2"/>
      <c r="K76" s="2"/>
      <c r="L76" s="2"/>
      <c r="M76" s="2"/>
      <c r="N76" s="2"/>
      <c r="O76" s="2"/>
      <c r="P76" s="2"/>
      <c r="Q76" s="2"/>
      <c r="R76" s="2"/>
      <c r="S76" s="2"/>
      <c r="T76" s="2"/>
      <c r="U76" s="2"/>
    </row>
    <row r="77">
      <c r="E77" s="2"/>
      <c r="F77" s="2"/>
      <c r="G77" s="2"/>
      <c r="H77" s="2"/>
      <c r="I77" s="2"/>
      <c r="J77" s="2"/>
      <c r="K77" s="2"/>
      <c r="L77" s="2"/>
      <c r="M77" s="2"/>
      <c r="N77" s="2"/>
      <c r="O77" s="2"/>
      <c r="P77" s="2"/>
      <c r="Q77" s="2"/>
      <c r="R77" s="2"/>
      <c r="S77" s="2"/>
      <c r="T77" s="2"/>
      <c r="U77" s="2"/>
    </row>
    <row r="78">
      <c r="E78" s="2"/>
      <c r="F78" s="2"/>
      <c r="G78" s="2"/>
      <c r="H78" s="2"/>
      <c r="I78" s="2"/>
      <c r="J78" s="2"/>
      <c r="K78" s="2"/>
      <c r="L78" s="2"/>
      <c r="M78" s="2"/>
      <c r="N78" s="2"/>
      <c r="O78" s="2"/>
      <c r="P78" s="2"/>
      <c r="Q78" s="2"/>
      <c r="R78" s="2"/>
      <c r="S78" s="2"/>
      <c r="T78" s="2"/>
      <c r="U78" s="2"/>
    </row>
    <row r="79">
      <c r="E79" s="2"/>
      <c r="F79" s="2"/>
      <c r="G79" s="2"/>
      <c r="H79" s="2"/>
      <c r="I79" s="2"/>
      <c r="J79" s="2"/>
      <c r="K79" s="2"/>
      <c r="L79" s="2"/>
      <c r="M79" s="2"/>
      <c r="N79" s="2"/>
      <c r="O79" s="2"/>
      <c r="P79" s="2"/>
      <c r="Q79" s="2"/>
      <c r="R79" s="2"/>
      <c r="S79" s="2"/>
      <c r="T79" s="2"/>
      <c r="U79" s="2"/>
    </row>
    <row r="80">
      <c r="E80" s="2"/>
      <c r="F80" s="2"/>
      <c r="G80" s="2"/>
      <c r="H80" s="2"/>
      <c r="I80" s="2"/>
      <c r="J80" s="2"/>
      <c r="K80" s="2"/>
      <c r="L80" s="2"/>
      <c r="M80" s="2"/>
      <c r="N80" s="2"/>
      <c r="O80" s="2"/>
      <c r="P80" s="2"/>
      <c r="Q80" s="2"/>
      <c r="R80" s="2"/>
      <c r="S80" s="2"/>
      <c r="T80" s="2"/>
      <c r="U80" s="2"/>
    </row>
    <row r="81">
      <c r="E81" s="2"/>
      <c r="F81" s="2"/>
      <c r="G81" s="2"/>
      <c r="H81" s="2"/>
      <c r="I81" s="2"/>
      <c r="J81" s="2"/>
      <c r="K81" s="2"/>
      <c r="L81" s="2"/>
      <c r="M81" s="2"/>
      <c r="N81" s="2"/>
      <c r="O81" s="2"/>
      <c r="P81" s="2"/>
      <c r="Q81" s="2"/>
      <c r="R81" s="2"/>
      <c r="S81" s="2"/>
      <c r="T81" s="2"/>
      <c r="U81" s="2"/>
    </row>
    <row r="82">
      <c r="E82" s="2"/>
      <c r="F82" s="2"/>
      <c r="G82" s="2"/>
      <c r="H82" s="2"/>
      <c r="I82" s="2"/>
      <c r="J82" s="2"/>
      <c r="K82" s="2"/>
      <c r="L82" s="2"/>
      <c r="M82" s="2"/>
      <c r="N82" s="2"/>
      <c r="O82" s="2"/>
      <c r="P82" s="2"/>
      <c r="Q82" s="2"/>
      <c r="R82" s="2"/>
      <c r="S82" s="2"/>
      <c r="T82" s="2"/>
      <c r="U82" s="2"/>
    </row>
    <row r="83">
      <c r="E83" s="2"/>
      <c r="F83" s="2"/>
      <c r="G83" s="2"/>
      <c r="H83" s="2"/>
      <c r="I83" s="2"/>
      <c r="J83" s="2"/>
      <c r="K83" s="2"/>
      <c r="L83" s="2"/>
      <c r="M83" s="2"/>
      <c r="N83" s="2"/>
      <c r="O83" s="2"/>
      <c r="P83" s="2"/>
      <c r="Q83" s="2"/>
      <c r="R83" s="2"/>
      <c r="S83" s="2"/>
      <c r="T83" s="2"/>
      <c r="U83" s="2"/>
    </row>
    <row r="84">
      <c r="E84" s="2"/>
      <c r="F84" s="2"/>
      <c r="G84" s="2"/>
      <c r="H84" s="2"/>
      <c r="I84" s="2"/>
      <c r="J84" s="2"/>
      <c r="K84" s="2"/>
      <c r="L84" s="2"/>
      <c r="M84" s="2"/>
      <c r="N84" s="2"/>
      <c r="O84" s="2"/>
      <c r="P84" s="2"/>
      <c r="Q84" s="2"/>
      <c r="R84" s="2"/>
      <c r="S84" s="2"/>
      <c r="T84" s="2"/>
      <c r="U84" s="2"/>
    </row>
    <row r="85">
      <c r="E85" s="2"/>
      <c r="F85" s="2"/>
      <c r="G85" s="2"/>
      <c r="H85" s="2"/>
      <c r="I85" s="2"/>
      <c r="J85" s="2"/>
      <c r="K85" s="2"/>
      <c r="L85" s="2"/>
      <c r="M85" s="2"/>
      <c r="N85" s="2"/>
      <c r="O85" s="2"/>
      <c r="P85" s="2"/>
      <c r="Q85" s="2"/>
      <c r="R85" s="2"/>
      <c r="S85" s="2"/>
      <c r="T85" s="2"/>
      <c r="U85" s="2"/>
    </row>
    <row r="86">
      <c r="E86" s="2"/>
      <c r="F86" s="2"/>
      <c r="G86" s="2"/>
      <c r="H86" s="2"/>
      <c r="I86" s="2"/>
      <c r="J86" s="2"/>
      <c r="K86" s="2"/>
      <c r="L86" s="2"/>
      <c r="M86" s="2"/>
      <c r="N86" s="2"/>
      <c r="O86" s="2"/>
      <c r="P86" s="2"/>
      <c r="Q86" s="2"/>
      <c r="R86" s="2"/>
      <c r="S86" s="2"/>
      <c r="T86" s="2"/>
      <c r="U86" s="2"/>
    </row>
    <row r="87">
      <c r="E87" s="2"/>
      <c r="F87" s="2"/>
      <c r="G87" s="2"/>
      <c r="H87" s="2"/>
      <c r="I87" s="2"/>
      <c r="J87" s="2"/>
      <c r="K87" s="2"/>
      <c r="L87" s="2"/>
      <c r="M87" s="2"/>
      <c r="N87" s="2"/>
      <c r="O87" s="2"/>
      <c r="P87" s="2"/>
      <c r="Q87" s="2"/>
      <c r="R87" s="2"/>
      <c r="S87" s="2"/>
      <c r="T87" s="2"/>
      <c r="U87" s="2"/>
    </row>
    <row r="88">
      <c r="E88" s="2"/>
      <c r="F88" s="2"/>
      <c r="G88" s="2"/>
      <c r="H88" s="2"/>
      <c r="I88" s="2"/>
      <c r="J88" s="2"/>
      <c r="K88" s="2"/>
      <c r="L88" s="2"/>
      <c r="M88" s="2"/>
      <c r="N88" s="2"/>
      <c r="O88" s="2"/>
      <c r="P88" s="2"/>
      <c r="Q88" s="2"/>
      <c r="R88" s="2"/>
      <c r="S88" s="2"/>
      <c r="T88" s="2"/>
      <c r="U88" s="2"/>
    </row>
    <row r="89">
      <c r="E89" s="2"/>
      <c r="F89" s="2"/>
      <c r="G89" s="2"/>
      <c r="H89" s="2"/>
      <c r="I89" s="2"/>
      <c r="J89" s="2"/>
      <c r="K89" s="2"/>
      <c r="L89" s="2"/>
      <c r="M89" s="2"/>
      <c r="N89" s="2"/>
      <c r="O89" s="2"/>
      <c r="P89" s="2"/>
      <c r="Q89" s="2"/>
      <c r="R89" s="2"/>
      <c r="S89" s="2"/>
      <c r="T89" s="2"/>
      <c r="U89" s="2"/>
    </row>
    <row r="90">
      <c r="E90" s="2"/>
      <c r="F90" s="2"/>
      <c r="G90" s="2"/>
      <c r="H90" s="2"/>
      <c r="I90" s="2"/>
      <c r="J90" s="2"/>
      <c r="K90" s="2"/>
      <c r="L90" s="2"/>
      <c r="M90" s="2"/>
      <c r="N90" s="2"/>
      <c r="O90" s="2"/>
      <c r="P90" s="2"/>
      <c r="Q90" s="2"/>
      <c r="R90" s="2"/>
      <c r="S90" s="2"/>
      <c r="T90" s="2"/>
      <c r="U90" s="2"/>
    </row>
    <row r="91">
      <c r="E91" s="2"/>
      <c r="F91" s="2"/>
      <c r="G91" s="2"/>
      <c r="H91" s="2"/>
      <c r="I91" s="2"/>
      <c r="J91" s="2"/>
      <c r="K91" s="2"/>
      <c r="L91" s="2"/>
      <c r="M91" s="2"/>
      <c r="N91" s="2"/>
      <c r="O91" s="2"/>
      <c r="P91" s="2"/>
      <c r="Q91" s="2"/>
      <c r="R91" s="2"/>
      <c r="S91" s="2"/>
      <c r="T91" s="2"/>
      <c r="U91" s="2"/>
    </row>
    <row r="92">
      <c r="E92" s="2"/>
      <c r="F92" s="2"/>
      <c r="G92" s="2"/>
      <c r="H92" s="2"/>
      <c r="I92" s="2"/>
      <c r="J92" s="2"/>
      <c r="K92" s="2"/>
      <c r="L92" s="2"/>
      <c r="M92" s="2"/>
      <c r="N92" s="2"/>
      <c r="O92" s="2"/>
      <c r="P92" s="2"/>
      <c r="Q92" s="2"/>
      <c r="R92" s="2"/>
      <c r="S92" s="2"/>
      <c r="T92" s="2"/>
      <c r="U92" s="2"/>
    </row>
    <row r="93">
      <c r="E93" s="2"/>
      <c r="F93" s="2"/>
      <c r="G93" s="2"/>
      <c r="H93" s="2"/>
      <c r="I93" s="2"/>
      <c r="J93" s="2"/>
      <c r="K93" s="2"/>
      <c r="L93" s="2"/>
      <c r="M93" s="2"/>
      <c r="N93" s="2"/>
      <c r="O93" s="2"/>
      <c r="P93" s="2"/>
      <c r="Q93" s="2"/>
      <c r="R93" s="2"/>
      <c r="S93" s="2"/>
      <c r="T93" s="2"/>
      <c r="U93" s="2"/>
    </row>
    <row r="94">
      <c r="E94" s="2"/>
      <c r="F94" s="2"/>
      <c r="G94" s="2"/>
      <c r="H94" s="2"/>
      <c r="I94" s="2"/>
      <c r="J94" s="2"/>
      <c r="K94" s="2"/>
      <c r="L94" s="2"/>
      <c r="M94" s="2"/>
      <c r="N94" s="2"/>
      <c r="O94" s="2"/>
      <c r="P94" s="2"/>
      <c r="Q94" s="2"/>
      <c r="R94" s="2"/>
      <c r="S94" s="2"/>
      <c r="T94" s="2"/>
      <c r="U94" s="2"/>
    </row>
    <row r="95">
      <c r="E95" s="2"/>
      <c r="F95" s="2"/>
      <c r="G95" s="2"/>
      <c r="H95" s="2"/>
      <c r="I95" s="2"/>
      <c r="J95" s="2"/>
      <c r="K95" s="2"/>
      <c r="L95" s="2"/>
      <c r="M95" s="2"/>
      <c r="N95" s="2"/>
      <c r="O95" s="2"/>
      <c r="P95" s="2"/>
      <c r="Q95" s="2"/>
      <c r="R95" s="2"/>
      <c r="S95" s="2"/>
      <c r="T95" s="2"/>
      <c r="U95" s="2"/>
    </row>
    <row r="96">
      <c r="E96" s="2"/>
      <c r="F96" s="2"/>
      <c r="G96" s="2"/>
      <c r="H96" s="2"/>
      <c r="I96" s="2"/>
      <c r="J96" s="2"/>
      <c r="K96" s="2"/>
      <c r="L96" s="2"/>
      <c r="M96" s="2"/>
      <c r="N96" s="2"/>
      <c r="O96" s="2"/>
      <c r="P96" s="2"/>
      <c r="Q96" s="2"/>
      <c r="R96" s="2"/>
      <c r="S96" s="2"/>
      <c r="T96" s="2"/>
      <c r="U96" s="2"/>
    </row>
    <row r="97">
      <c r="E97" s="2"/>
      <c r="F97" s="2"/>
      <c r="G97" s="2"/>
      <c r="H97" s="2"/>
      <c r="I97" s="2"/>
      <c r="J97" s="2"/>
      <c r="K97" s="2"/>
      <c r="L97" s="2"/>
      <c r="M97" s="2"/>
      <c r="N97" s="2"/>
      <c r="O97" s="2"/>
      <c r="P97" s="2"/>
      <c r="Q97" s="2"/>
      <c r="R97" s="2"/>
      <c r="S97" s="2"/>
      <c r="T97" s="2"/>
      <c r="U97" s="2"/>
    </row>
    <row r="98">
      <c r="E98" s="2"/>
      <c r="F98" s="2"/>
      <c r="G98" s="2"/>
      <c r="H98" s="2"/>
      <c r="I98" s="2"/>
      <c r="J98" s="2"/>
      <c r="K98" s="2"/>
      <c r="L98" s="2"/>
      <c r="M98" s="2"/>
      <c r="N98" s="2"/>
      <c r="O98" s="2"/>
      <c r="P98" s="2"/>
      <c r="Q98" s="2"/>
      <c r="R98" s="2"/>
      <c r="S98" s="2"/>
      <c r="T98" s="2"/>
      <c r="U98" s="2"/>
    </row>
    <row r="99">
      <c r="E99" s="2"/>
      <c r="F99" s="2"/>
      <c r="G99" s="2"/>
      <c r="H99" s="2"/>
      <c r="I99" s="2"/>
      <c r="J99" s="2"/>
      <c r="K99" s="2"/>
      <c r="L99" s="2"/>
      <c r="M99" s="2"/>
      <c r="N99" s="2"/>
      <c r="O99" s="2"/>
      <c r="P99" s="2"/>
      <c r="Q99" s="2"/>
      <c r="R99" s="2"/>
      <c r="S99" s="2"/>
      <c r="T99" s="2"/>
      <c r="U99" s="2"/>
    </row>
    <row r="100">
      <c r="E100" s="2"/>
      <c r="F100" s="2"/>
      <c r="G100" s="2"/>
      <c r="H100" s="2"/>
      <c r="I100" s="2"/>
      <c r="J100" s="2"/>
      <c r="K100" s="2"/>
      <c r="L100" s="2"/>
      <c r="M100" s="2"/>
      <c r="N100" s="2"/>
      <c r="O100" s="2"/>
      <c r="P100" s="2"/>
      <c r="Q100" s="2"/>
      <c r="R100" s="2"/>
      <c r="S100" s="2"/>
      <c r="T100" s="2"/>
      <c r="U100" s="2"/>
    </row>
    <row r="101">
      <c r="E101" s="2"/>
      <c r="F101" s="2"/>
      <c r="G101" s="2"/>
      <c r="H101" s="2"/>
      <c r="I101" s="2"/>
      <c r="J101" s="2"/>
      <c r="K101" s="2"/>
      <c r="L101" s="2"/>
      <c r="M101" s="2"/>
      <c r="N101" s="2"/>
      <c r="O101" s="2"/>
      <c r="P101" s="2"/>
      <c r="Q101" s="2"/>
      <c r="R101" s="2"/>
      <c r="S101" s="2"/>
      <c r="T101" s="2"/>
      <c r="U101" s="2"/>
    </row>
    <row r="102">
      <c r="E102" s="2"/>
      <c r="F102" s="2"/>
      <c r="G102" s="2"/>
      <c r="H102" s="2"/>
      <c r="I102" s="2"/>
      <c r="J102" s="2"/>
      <c r="K102" s="2"/>
      <c r="L102" s="2"/>
      <c r="M102" s="2"/>
      <c r="N102" s="2"/>
      <c r="O102" s="2"/>
      <c r="P102" s="2"/>
      <c r="Q102" s="2"/>
      <c r="R102" s="2"/>
      <c r="S102" s="2"/>
      <c r="T102" s="2"/>
      <c r="U102" s="2"/>
    </row>
    <row r="103">
      <c r="E103" s="2"/>
      <c r="F103" s="2"/>
      <c r="G103" s="2"/>
      <c r="H103" s="2"/>
      <c r="I103" s="2"/>
      <c r="J103" s="2"/>
      <c r="K103" s="2"/>
      <c r="L103" s="2"/>
      <c r="M103" s="2"/>
      <c r="N103" s="2"/>
      <c r="O103" s="2"/>
      <c r="P103" s="2"/>
      <c r="Q103" s="2"/>
      <c r="R103" s="2"/>
      <c r="S103" s="2"/>
      <c r="T103" s="2"/>
      <c r="U103" s="2"/>
    </row>
    <row r="104">
      <c r="E104" s="2"/>
      <c r="F104" s="2"/>
      <c r="G104" s="2"/>
      <c r="H104" s="2"/>
      <c r="I104" s="2"/>
      <c r="J104" s="2"/>
      <c r="K104" s="2"/>
      <c r="L104" s="2"/>
      <c r="M104" s="2"/>
      <c r="N104" s="2"/>
      <c r="O104" s="2"/>
      <c r="P104" s="2"/>
      <c r="Q104" s="2"/>
      <c r="R104" s="2"/>
      <c r="S104" s="2"/>
      <c r="T104" s="2"/>
      <c r="U104" s="2"/>
    </row>
    <row r="105">
      <c r="E105" s="2"/>
      <c r="F105" s="2"/>
      <c r="G105" s="2"/>
      <c r="H105" s="2"/>
      <c r="I105" s="2"/>
      <c r="J105" s="2"/>
      <c r="K105" s="2"/>
      <c r="L105" s="2"/>
      <c r="M105" s="2"/>
      <c r="N105" s="2"/>
      <c r="O105" s="2"/>
      <c r="P105" s="2"/>
      <c r="Q105" s="2"/>
      <c r="R105" s="2"/>
      <c r="S105" s="2"/>
      <c r="T105" s="2"/>
      <c r="U105" s="2"/>
    </row>
    <row r="106">
      <c r="E106" s="2"/>
      <c r="F106" s="2"/>
      <c r="G106" s="2"/>
      <c r="H106" s="2"/>
      <c r="I106" s="2"/>
      <c r="J106" s="2"/>
      <c r="K106" s="2"/>
      <c r="L106" s="2"/>
      <c r="M106" s="2"/>
      <c r="N106" s="2"/>
      <c r="O106" s="2"/>
      <c r="P106" s="2"/>
      <c r="Q106" s="2"/>
      <c r="R106" s="2"/>
      <c r="S106" s="2"/>
      <c r="T106" s="2"/>
      <c r="U106" s="2"/>
    </row>
    <row r="107">
      <c r="E107" s="2"/>
      <c r="F107" s="2"/>
      <c r="G107" s="2"/>
      <c r="H107" s="2"/>
      <c r="I107" s="2"/>
      <c r="J107" s="2"/>
      <c r="K107" s="2"/>
      <c r="L107" s="2"/>
      <c r="M107" s="2"/>
      <c r="N107" s="2"/>
      <c r="O107" s="2"/>
      <c r="P107" s="2"/>
      <c r="Q107" s="2"/>
      <c r="R107" s="2"/>
      <c r="S107" s="2"/>
      <c r="T107" s="2"/>
      <c r="U107" s="2"/>
    </row>
    <row r="108">
      <c r="E108" s="2"/>
      <c r="F108" s="2"/>
      <c r="G108" s="2"/>
      <c r="H108" s="2"/>
      <c r="I108" s="2"/>
      <c r="J108" s="2"/>
      <c r="K108" s="2"/>
      <c r="L108" s="2"/>
      <c r="M108" s="2"/>
      <c r="N108" s="2"/>
      <c r="O108" s="2"/>
      <c r="P108" s="2"/>
      <c r="Q108" s="2"/>
      <c r="R108" s="2"/>
      <c r="S108" s="2"/>
      <c r="T108" s="2"/>
      <c r="U108" s="2"/>
    </row>
    <row r="109">
      <c r="E109" s="2"/>
      <c r="F109" s="2"/>
      <c r="G109" s="2"/>
      <c r="H109" s="2"/>
      <c r="I109" s="2"/>
      <c r="J109" s="2"/>
      <c r="K109" s="2"/>
      <c r="L109" s="2"/>
      <c r="M109" s="2"/>
      <c r="N109" s="2"/>
      <c r="O109" s="2"/>
      <c r="P109" s="2"/>
      <c r="Q109" s="2"/>
      <c r="R109" s="2"/>
      <c r="S109" s="2"/>
      <c r="T109" s="2"/>
      <c r="U109" s="2"/>
    </row>
    <row r="110">
      <c r="E110" s="2"/>
      <c r="F110" s="2"/>
      <c r="G110" s="2"/>
      <c r="H110" s="2"/>
      <c r="I110" s="2"/>
      <c r="J110" s="2"/>
      <c r="K110" s="2"/>
      <c r="L110" s="2"/>
      <c r="M110" s="2"/>
      <c r="N110" s="2"/>
      <c r="O110" s="2"/>
      <c r="P110" s="2"/>
      <c r="Q110" s="2"/>
      <c r="R110" s="2"/>
      <c r="S110" s="2"/>
      <c r="T110" s="2"/>
      <c r="U110" s="2"/>
    </row>
    <row r="111">
      <c r="E111" s="2"/>
      <c r="F111" s="2"/>
      <c r="G111" s="2"/>
      <c r="H111" s="2"/>
      <c r="I111" s="2"/>
      <c r="J111" s="2"/>
      <c r="K111" s="2"/>
      <c r="L111" s="2"/>
      <c r="M111" s="2"/>
      <c r="N111" s="2"/>
      <c r="O111" s="2"/>
      <c r="P111" s="2"/>
      <c r="Q111" s="2"/>
      <c r="R111" s="2"/>
      <c r="S111" s="2"/>
      <c r="T111" s="2"/>
      <c r="U111" s="2"/>
    </row>
    <row r="112">
      <c r="E112" s="2"/>
      <c r="F112" s="2"/>
      <c r="G112" s="2"/>
      <c r="H112" s="2"/>
      <c r="I112" s="2"/>
      <c r="J112" s="2"/>
      <c r="K112" s="2"/>
      <c r="L112" s="2"/>
      <c r="M112" s="2"/>
      <c r="N112" s="2"/>
      <c r="O112" s="2"/>
      <c r="P112" s="2"/>
      <c r="Q112" s="2"/>
      <c r="R112" s="2"/>
      <c r="S112" s="2"/>
      <c r="T112" s="2"/>
      <c r="U112" s="2"/>
    </row>
    <row r="113">
      <c r="E113" s="2"/>
      <c r="F113" s="2"/>
      <c r="G113" s="2"/>
      <c r="H113" s="2"/>
      <c r="I113" s="2"/>
      <c r="J113" s="2"/>
      <c r="K113" s="2"/>
      <c r="L113" s="2"/>
      <c r="M113" s="2"/>
      <c r="N113" s="2"/>
      <c r="O113" s="2"/>
      <c r="P113" s="2"/>
      <c r="Q113" s="2"/>
      <c r="R113" s="2"/>
      <c r="S113" s="2"/>
      <c r="T113" s="2"/>
      <c r="U113" s="2"/>
    </row>
    <row r="114">
      <c r="E114" s="2"/>
      <c r="F114" s="2"/>
      <c r="G114" s="2"/>
      <c r="H114" s="2"/>
      <c r="I114" s="2"/>
      <c r="J114" s="2"/>
      <c r="K114" s="2"/>
      <c r="L114" s="2"/>
      <c r="M114" s="2"/>
      <c r="N114" s="2"/>
      <c r="O114" s="2"/>
      <c r="P114" s="2"/>
      <c r="Q114" s="2"/>
      <c r="R114" s="2"/>
      <c r="S114" s="2"/>
      <c r="T114" s="2"/>
      <c r="U114" s="2"/>
    </row>
    <row r="115">
      <c r="E115" s="2"/>
      <c r="F115" s="2"/>
      <c r="G115" s="2"/>
      <c r="H115" s="2"/>
      <c r="I115" s="2"/>
      <c r="J115" s="2"/>
      <c r="K115" s="2"/>
      <c r="L115" s="2"/>
      <c r="M115" s="2"/>
      <c r="N115" s="2"/>
      <c r="O115" s="2"/>
      <c r="P115" s="2"/>
      <c r="Q115" s="2"/>
      <c r="R115" s="2"/>
      <c r="S115" s="2"/>
      <c r="T115" s="2"/>
      <c r="U115" s="2"/>
    </row>
    <row r="116">
      <c r="E116" s="2"/>
      <c r="F116" s="2"/>
      <c r="G116" s="2"/>
      <c r="H116" s="2"/>
      <c r="I116" s="2"/>
      <c r="J116" s="2"/>
      <c r="K116" s="2"/>
      <c r="L116" s="2"/>
      <c r="M116" s="2"/>
      <c r="N116" s="2"/>
      <c r="O116" s="2"/>
      <c r="P116" s="2"/>
      <c r="Q116" s="2"/>
      <c r="R116" s="2"/>
      <c r="S116" s="2"/>
      <c r="T116" s="2"/>
      <c r="U116" s="2"/>
    </row>
    <row r="117">
      <c r="E117" s="2"/>
      <c r="F117" s="2"/>
      <c r="G117" s="2"/>
      <c r="H117" s="2"/>
      <c r="I117" s="2"/>
      <c r="J117" s="2"/>
      <c r="K117" s="2"/>
      <c r="L117" s="2"/>
      <c r="M117" s="2"/>
      <c r="N117" s="2"/>
      <c r="O117" s="2"/>
      <c r="P117" s="2"/>
      <c r="Q117" s="2"/>
      <c r="R117" s="2"/>
      <c r="S117" s="2"/>
      <c r="T117" s="2"/>
      <c r="U117" s="2"/>
    </row>
    <row r="118">
      <c r="E118" s="2"/>
      <c r="F118" s="2"/>
      <c r="G118" s="2"/>
      <c r="H118" s="2"/>
      <c r="I118" s="2"/>
      <c r="J118" s="2"/>
      <c r="K118" s="2"/>
      <c r="L118" s="2"/>
      <c r="M118" s="2"/>
      <c r="N118" s="2"/>
      <c r="O118" s="2"/>
      <c r="P118" s="2"/>
      <c r="Q118" s="2"/>
      <c r="R118" s="2"/>
      <c r="S118" s="2"/>
      <c r="T118" s="2"/>
      <c r="U118" s="2"/>
    </row>
    <row r="119">
      <c r="E119" s="2"/>
      <c r="F119" s="2"/>
      <c r="G119" s="2"/>
      <c r="H119" s="2"/>
      <c r="I119" s="2"/>
      <c r="J119" s="2"/>
      <c r="K119" s="2"/>
      <c r="L119" s="2"/>
      <c r="M119" s="2"/>
      <c r="N119" s="2"/>
      <c r="O119" s="2"/>
      <c r="P119" s="2"/>
      <c r="Q119" s="2"/>
      <c r="R119" s="2"/>
      <c r="S119" s="2"/>
      <c r="T119" s="2"/>
      <c r="U119" s="2"/>
    </row>
    <row r="120">
      <c r="E120" s="2"/>
      <c r="F120" s="2"/>
      <c r="G120" s="2"/>
      <c r="H120" s="2"/>
      <c r="I120" s="2"/>
      <c r="J120" s="2"/>
      <c r="K120" s="2"/>
      <c r="L120" s="2"/>
      <c r="M120" s="2"/>
      <c r="N120" s="2"/>
      <c r="O120" s="2"/>
      <c r="P120" s="2"/>
      <c r="Q120" s="2"/>
      <c r="R120" s="2"/>
      <c r="S120" s="2"/>
      <c r="T120" s="2"/>
      <c r="U120" s="2"/>
    </row>
    <row r="121">
      <c r="E121" s="2"/>
      <c r="F121" s="2"/>
      <c r="G121" s="2"/>
      <c r="H121" s="2"/>
      <c r="I121" s="2"/>
      <c r="J121" s="2"/>
      <c r="K121" s="2"/>
      <c r="L121" s="2"/>
      <c r="M121" s="2"/>
      <c r="N121" s="2"/>
      <c r="O121" s="2"/>
      <c r="P121" s="2"/>
      <c r="Q121" s="2"/>
      <c r="R121" s="2"/>
      <c r="S121" s="2"/>
      <c r="T121" s="2"/>
      <c r="U121" s="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13"/>
    <col customWidth="1" min="2" max="2" width="16.75"/>
    <col customWidth="1" min="3" max="3" width="37.25"/>
    <col customWidth="1" min="4" max="4" width="62.5"/>
    <col customWidth="1" min="5" max="5" width="21.63"/>
    <col customWidth="1" min="6" max="6" width="43.88"/>
    <col customWidth="1" min="7" max="7" width="7.25"/>
    <col customWidth="1" min="8" max="8" width="9.0"/>
    <col customWidth="1" min="9" max="9" width="29.63"/>
    <col customWidth="1" min="10" max="10" width="35.0"/>
    <col customWidth="1" min="11" max="11" width="24.75"/>
    <col customWidth="1" min="12" max="13" width="14.38"/>
  </cols>
  <sheetData>
    <row r="1" ht="24.75" customHeight="1">
      <c r="A1" s="34" t="s">
        <v>34</v>
      </c>
      <c r="B1" s="35" t="s">
        <v>35</v>
      </c>
      <c r="C1" s="36" t="s">
        <v>17</v>
      </c>
      <c r="D1" s="36" t="s">
        <v>18</v>
      </c>
      <c r="E1" s="37" t="s">
        <v>36</v>
      </c>
      <c r="F1" s="36" t="s">
        <v>37</v>
      </c>
      <c r="G1" s="38" t="s">
        <v>38</v>
      </c>
      <c r="H1" s="38" t="s">
        <v>39</v>
      </c>
      <c r="I1" s="38" t="s">
        <v>40</v>
      </c>
      <c r="J1" s="38" t="s">
        <v>41</v>
      </c>
      <c r="K1" s="36" t="s">
        <v>42</v>
      </c>
      <c r="L1" s="39" t="s">
        <v>43</v>
      </c>
      <c r="M1" s="39" t="s">
        <v>44</v>
      </c>
    </row>
    <row r="2" ht="24.75" customHeight="1">
      <c r="A2" s="40" t="s">
        <v>45</v>
      </c>
      <c r="B2" s="41" t="s">
        <v>46</v>
      </c>
      <c r="C2" s="42"/>
      <c r="D2" s="43" t="s">
        <v>27</v>
      </c>
      <c r="E2" s="44" t="s">
        <v>47</v>
      </c>
      <c r="F2" s="43" t="s">
        <v>37</v>
      </c>
      <c r="G2" s="45" t="s">
        <v>48</v>
      </c>
      <c r="H2" s="46" t="str">
        <f t="shared" ref="H2:H21" si="1">A2</f>
        <v>00-00</v>
      </c>
      <c r="I2" s="47" t="s">
        <v>49</v>
      </c>
      <c r="J2" s="45"/>
      <c r="K2" s="48" t="s">
        <v>50</v>
      </c>
      <c r="L2" s="49"/>
      <c r="M2" s="50" t="s">
        <v>49</v>
      </c>
    </row>
    <row r="3" ht="24.75" customHeight="1">
      <c r="A3" s="51" t="s">
        <v>51</v>
      </c>
      <c r="B3" s="52" t="s">
        <v>46</v>
      </c>
      <c r="C3" s="53" t="s">
        <v>52</v>
      </c>
      <c r="D3" s="54" t="s">
        <v>53</v>
      </c>
      <c r="E3" s="55">
        <v>7000.0</v>
      </c>
      <c r="F3" s="56" t="s">
        <v>54</v>
      </c>
      <c r="G3" s="57" t="s">
        <v>55</v>
      </c>
      <c r="H3" s="58" t="str">
        <f t="shared" si="1"/>
        <v>00-01</v>
      </c>
      <c r="I3" s="59" t="s">
        <v>56</v>
      </c>
      <c r="J3" s="59"/>
      <c r="K3" s="60" t="s">
        <v>50</v>
      </c>
      <c r="L3" s="61" t="s">
        <v>57</v>
      </c>
      <c r="M3" s="62" t="s">
        <v>58</v>
      </c>
    </row>
    <row r="4" ht="24.75" customHeight="1">
      <c r="A4" s="63" t="s">
        <v>59</v>
      </c>
      <c r="B4" s="41" t="s">
        <v>46</v>
      </c>
      <c r="C4" s="64" t="s">
        <v>52</v>
      </c>
      <c r="D4" s="65" t="s">
        <v>60</v>
      </c>
      <c r="E4" s="66">
        <v>33000.0</v>
      </c>
      <c r="F4" s="67" t="s">
        <v>61</v>
      </c>
      <c r="G4" s="45" t="s">
        <v>55</v>
      </c>
      <c r="H4" s="46" t="str">
        <f t="shared" si="1"/>
        <v>00-02</v>
      </c>
      <c r="I4" s="45" t="s">
        <v>62</v>
      </c>
      <c r="J4" s="45"/>
      <c r="K4" s="48" t="s">
        <v>61</v>
      </c>
      <c r="L4" s="68" t="s">
        <v>57</v>
      </c>
      <c r="M4" s="50" t="s">
        <v>63</v>
      </c>
    </row>
    <row r="5" ht="24.75" customHeight="1">
      <c r="A5" s="51" t="s">
        <v>64</v>
      </c>
      <c r="B5" s="52" t="s">
        <v>46</v>
      </c>
      <c r="C5" s="53" t="s">
        <v>52</v>
      </c>
      <c r="D5" s="54" t="s">
        <v>65</v>
      </c>
      <c r="E5" s="55">
        <v>104000.0</v>
      </c>
      <c r="F5" s="69" t="s">
        <v>66</v>
      </c>
      <c r="G5" s="59" t="s">
        <v>55</v>
      </c>
      <c r="H5" s="58" t="str">
        <f t="shared" si="1"/>
        <v>00-03</v>
      </c>
      <c r="I5" s="59" t="s">
        <v>62</v>
      </c>
      <c r="J5" s="59"/>
      <c r="K5" s="70" t="s">
        <v>67</v>
      </c>
      <c r="L5" s="61" t="s">
        <v>57</v>
      </c>
      <c r="M5" s="62" t="s">
        <v>63</v>
      </c>
    </row>
    <row r="6" ht="24.75" customHeight="1">
      <c r="A6" s="63" t="s">
        <v>68</v>
      </c>
      <c r="B6" s="41" t="s">
        <v>46</v>
      </c>
      <c r="C6" s="64" t="s">
        <v>52</v>
      </c>
      <c r="D6" s="65" t="s">
        <v>69</v>
      </c>
      <c r="E6" s="66">
        <v>119000.0</v>
      </c>
      <c r="F6" s="71" t="s">
        <v>66</v>
      </c>
      <c r="G6" s="45" t="s">
        <v>55</v>
      </c>
      <c r="H6" s="46" t="str">
        <f t="shared" si="1"/>
        <v>00-04</v>
      </c>
      <c r="I6" s="45" t="s">
        <v>62</v>
      </c>
      <c r="J6" s="45"/>
      <c r="K6" s="72" t="s">
        <v>67</v>
      </c>
      <c r="L6" s="68" t="s">
        <v>57</v>
      </c>
      <c r="M6" s="50" t="s">
        <v>63</v>
      </c>
    </row>
    <row r="7" ht="24.75" customHeight="1">
      <c r="A7" s="51" t="s">
        <v>70</v>
      </c>
      <c r="B7" s="52" t="s">
        <v>46</v>
      </c>
      <c r="C7" s="53" t="s">
        <v>52</v>
      </c>
      <c r="D7" s="54" t="s">
        <v>71</v>
      </c>
      <c r="E7" s="55">
        <v>215000.0</v>
      </c>
      <c r="F7" s="69" t="s">
        <v>72</v>
      </c>
      <c r="G7" s="59" t="s">
        <v>55</v>
      </c>
      <c r="H7" s="58" t="str">
        <f t="shared" si="1"/>
        <v>00-05</v>
      </c>
      <c r="I7" s="59" t="s">
        <v>62</v>
      </c>
      <c r="J7" s="59"/>
      <c r="K7" s="70" t="s">
        <v>67</v>
      </c>
      <c r="L7" s="61" t="s">
        <v>57</v>
      </c>
      <c r="M7" s="62" t="s">
        <v>63</v>
      </c>
    </row>
    <row r="8" ht="24.75" customHeight="1">
      <c r="A8" s="63" t="s">
        <v>73</v>
      </c>
      <c r="B8" s="41" t="s">
        <v>46</v>
      </c>
      <c r="C8" s="64" t="s">
        <v>52</v>
      </c>
      <c r="D8" s="73" t="s">
        <v>74</v>
      </c>
      <c r="E8" s="66">
        <v>3800.0</v>
      </c>
      <c r="F8" s="71" t="s">
        <v>67</v>
      </c>
      <c r="G8" s="45" t="s">
        <v>75</v>
      </c>
      <c r="H8" s="46" t="str">
        <f t="shared" si="1"/>
        <v>00-06</v>
      </c>
      <c r="I8" s="45" t="s">
        <v>56</v>
      </c>
      <c r="J8" s="45"/>
      <c r="K8" s="72" t="s">
        <v>67</v>
      </c>
      <c r="L8" s="68" t="s">
        <v>57</v>
      </c>
      <c r="M8" s="50" t="s">
        <v>63</v>
      </c>
    </row>
    <row r="9" ht="24.75" customHeight="1">
      <c r="A9" s="51" t="s">
        <v>76</v>
      </c>
      <c r="B9" s="52" t="s">
        <v>46</v>
      </c>
      <c r="C9" s="53" t="s">
        <v>52</v>
      </c>
      <c r="D9" s="74" t="s">
        <v>78</v>
      </c>
      <c r="E9" s="55">
        <v>3800.0</v>
      </c>
      <c r="F9" s="69" t="s">
        <v>80</v>
      </c>
      <c r="G9" s="59" t="s">
        <v>75</v>
      </c>
      <c r="H9" s="58" t="str">
        <f t="shared" si="1"/>
        <v>00-07</v>
      </c>
      <c r="I9" s="57" t="s">
        <v>62</v>
      </c>
      <c r="J9" s="59"/>
      <c r="K9" s="69" t="s">
        <v>80</v>
      </c>
      <c r="L9" s="61" t="s">
        <v>57</v>
      </c>
      <c r="M9" s="62" t="s">
        <v>63</v>
      </c>
    </row>
    <row r="10" ht="24.75" customHeight="1">
      <c r="A10" s="63" t="s">
        <v>81</v>
      </c>
      <c r="B10" s="41" t="s">
        <v>46</v>
      </c>
      <c r="C10" s="64" t="s">
        <v>52</v>
      </c>
      <c r="D10" s="65" t="s">
        <v>82</v>
      </c>
      <c r="E10" s="66">
        <v>29000.0</v>
      </c>
      <c r="F10" s="71" t="s">
        <v>83</v>
      </c>
      <c r="G10" s="45" t="s">
        <v>55</v>
      </c>
      <c r="H10" s="46" t="str">
        <f t="shared" si="1"/>
        <v>00-08</v>
      </c>
      <c r="I10" s="45" t="s">
        <v>84</v>
      </c>
      <c r="J10" s="47" t="s">
        <v>85</v>
      </c>
      <c r="K10" s="48" t="s">
        <v>50</v>
      </c>
      <c r="L10" s="68" t="s">
        <v>57</v>
      </c>
      <c r="M10" s="50" t="s">
        <v>58</v>
      </c>
    </row>
    <row r="11" ht="24.75" customHeight="1">
      <c r="A11" s="51" t="s">
        <v>86</v>
      </c>
      <c r="B11" s="52" t="s">
        <v>46</v>
      </c>
      <c r="C11" s="53" t="s">
        <v>52</v>
      </c>
      <c r="D11" s="54" t="s">
        <v>88</v>
      </c>
      <c r="E11" s="55">
        <v>77000.0</v>
      </c>
      <c r="F11" s="69" t="s">
        <v>89</v>
      </c>
      <c r="G11" s="59" t="s">
        <v>55</v>
      </c>
      <c r="H11" s="58" t="str">
        <f t="shared" si="1"/>
        <v>00-09</v>
      </c>
      <c r="I11" s="59" t="s">
        <v>84</v>
      </c>
      <c r="J11" s="57" t="s">
        <v>90</v>
      </c>
      <c r="K11" s="60" t="s">
        <v>50</v>
      </c>
      <c r="L11" s="61" t="s">
        <v>57</v>
      </c>
      <c r="M11" s="62" t="s">
        <v>58</v>
      </c>
    </row>
    <row r="12" ht="24.75" customHeight="1">
      <c r="A12" s="76" t="s">
        <v>91</v>
      </c>
      <c r="B12" s="41" t="s">
        <v>46</v>
      </c>
      <c r="C12" s="64" t="s">
        <v>52</v>
      </c>
      <c r="D12" s="65" t="s">
        <v>92</v>
      </c>
      <c r="E12" s="66">
        <v>1700.0</v>
      </c>
      <c r="F12" s="67" t="s">
        <v>93</v>
      </c>
      <c r="G12" s="45" t="s">
        <v>55</v>
      </c>
      <c r="H12" s="46" t="str">
        <f t="shared" si="1"/>
        <v>00-10</v>
      </c>
      <c r="I12" s="45" t="s">
        <v>84</v>
      </c>
      <c r="J12" s="47" t="s">
        <v>94</v>
      </c>
      <c r="K12" s="48" t="s">
        <v>50</v>
      </c>
      <c r="L12" s="68" t="s">
        <v>57</v>
      </c>
      <c r="M12" s="50" t="s">
        <v>58</v>
      </c>
    </row>
    <row r="13" ht="24.75" customHeight="1">
      <c r="A13" s="62" t="s">
        <v>95</v>
      </c>
      <c r="B13" s="52" t="s">
        <v>46</v>
      </c>
      <c r="C13" s="53" t="s">
        <v>52</v>
      </c>
      <c r="D13" s="54"/>
      <c r="E13" s="80"/>
      <c r="F13" s="56"/>
      <c r="G13" s="59"/>
      <c r="H13" s="58" t="str">
        <f t="shared" si="1"/>
        <v>00-11</v>
      </c>
      <c r="I13" s="59"/>
      <c r="J13" s="59"/>
      <c r="K13" s="60" t="s">
        <v>50</v>
      </c>
      <c r="L13" s="61" t="s">
        <v>57</v>
      </c>
      <c r="M13" s="62" t="s">
        <v>58</v>
      </c>
    </row>
    <row r="14" ht="24.75" customHeight="1">
      <c r="A14" s="40" t="s">
        <v>96</v>
      </c>
      <c r="B14" s="41" t="s">
        <v>46</v>
      </c>
      <c r="C14" s="42"/>
      <c r="D14" s="64" t="s">
        <v>77</v>
      </c>
      <c r="E14" s="44" t="s">
        <v>47</v>
      </c>
      <c r="F14" s="43" t="s">
        <v>37</v>
      </c>
      <c r="G14" s="45" t="s">
        <v>48</v>
      </c>
      <c r="H14" s="46" t="str">
        <f t="shared" si="1"/>
        <v>01-00</v>
      </c>
      <c r="I14" s="47" t="s">
        <v>49</v>
      </c>
      <c r="J14" s="45"/>
      <c r="K14" s="48" t="s">
        <v>50</v>
      </c>
      <c r="L14" s="49"/>
      <c r="M14" s="50" t="s">
        <v>49</v>
      </c>
    </row>
    <row r="15" ht="24.75" customHeight="1">
      <c r="A15" s="51" t="s">
        <v>98</v>
      </c>
      <c r="B15" s="52" t="s">
        <v>46</v>
      </c>
      <c r="C15" s="53" t="s">
        <v>99</v>
      </c>
      <c r="D15" s="83" t="s">
        <v>100</v>
      </c>
      <c r="E15" s="55">
        <v>146000.0</v>
      </c>
      <c r="F15" s="69" t="s">
        <v>102</v>
      </c>
      <c r="G15" s="59" t="s">
        <v>55</v>
      </c>
      <c r="H15" s="58" t="str">
        <f t="shared" si="1"/>
        <v>01-01</v>
      </c>
      <c r="I15" s="59" t="s">
        <v>62</v>
      </c>
      <c r="J15" s="59"/>
      <c r="K15" s="70" t="s">
        <v>104</v>
      </c>
      <c r="L15" s="61" t="s">
        <v>57</v>
      </c>
      <c r="M15" s="62" t="s">
        <v>63</v>
      </c>
    </row>
    <row r="16" ht="24.75" customHeight="1">
      <c r="A16" s="63" t="s">
        <v>105</v>
      </c>
      <c r="B16" s="41" t="s">
        <v>46</v>
      </c>
      <c r="C16" s="64" t="s">
        <v>99</v>
      </c>
      <c r="D16" s="84" t="s">
        <v>79</v>
      </c>
      <c r="E16" s="66">
        <v>222000.0</v>
      </c>
      <c r="F16" s="71" t="s">
        <v>107</v>
      </c>
      <c r="G16" s="45" t="s">
        <v>55</v>
      </c>
      <c r="H16" s="46" t="str">
        <f t="shared" si="1"/>
        <v>01-02</v>
      </c>
      <c r="I16" s="45" t="s">
        <v>62</v>
      </c>
      <c r="J16" s="45"/>
      <c r="K16" s="72" t="s">
        <v>104</v>
      </c>
      <c r="L16" s="68" t="s">
        <v>57</v>
      </c>
      <c r="M16" s="50" t="s">
        <v>63</v>
      </c>
    </row>
    <row r="17" ht="24.75" customHeight="1">
      <c r="A17" s="51" t="s">
        <v>108</v>
      </c>
      <c r="B17" s="52" t="s">
        <v>46</v>
      </c>
      <c r="C17" s="53" t="s">
        <v>99</v>
      </c>
      <c r="D17" s="83" t="s">
        <v>109</v>
      </c>
      <c r="E17" s="55">
        <v>200000.0</v>
      </c>
      <c r="F17" s="69" t="s">
        <v>107</v>
      </c>
      <c r="G17" s="59" t="s">
        <v>55</v>
      </c>
      <c r="H17" s="58" t="str">
        <f t="shared" si="1"/>
        <v>01-03</v>
      </c>
      <c r="I17" s="59" t="s">
        <v>62</v>
      </c>
      <c r="J17" s="59"/>
      <c r="K17" s="70" t="s">
        <v>104</v>
      </c>
      <c r="L17" s="61" t="s">
        <v>57</v>
      </c>
      <c r="M17" s="62" t="s">
        <v>63</v>
      </c>
    </row>
    <row r="18" ht="24.75" customHeight="1">
      <c r="A18" s="63" t="s">
        <v>110</v>
      </c>
      <c r="B18" s="41" t="s">
        <v>46</v>
      </c>
      <c r="C18" s="64" t="s">
        <v>99</v>
      </c>
      <c r="D18" s="84" t="s">
        <v>87</v>
      </c>
      <c r="E18" s="66">
        <v>289000.0</v>
      </c>
      <c r="F18" s="71" t="s">
        <v>107</v>
      </c>
      <c r="G18" s="45" t="s">
        <v>55</v>
      </c>
      <c r="H18" s="46" t="str">
        <f t="shared" si="1"/>
        <v>01-04</v>
      </c>
      <c r="I18" s="45" t="s">
        <v>56</v>
      </c>
      <c r="J18" s="45" t="s">
        <v>111</v>
      </c>
      <c r="K18" s="48" t="s">
        <v>50</v>
      </c>
      <c r="L18" s="68" t="s">
        <v>57</v>
      </c>
      <c r="M18" s="50" t="s">
        <v>63</v>
      </c>
    </row>
    <row r="19" ht="24.75" customHeight="1">
      <c r="A19" s="51" t="s">
        <v>112</v>
      </c>
      <c r="B19" s="52" t="s">
        <v>46</v>
      </c>
      <c r="C19" s="53" t="s">
        <v>99</v>
      </c>
      <c r="D19" s="83" t="s">
        <v>113</v>
      </c>
      <c r="E19" s="55">
        <v>376000.0</v>
      </c>
      <c r="F19" s="69" t="s">
        <v>107</v>
      </c>
      <c r="G19" s="59" t="s">
        <v>55</v>
      </c>
      <c r="H19" s="58" t="str">
        <f t="shared" si="1"/>
        <v>01-05</v>
      </c>
      <c r="I19" s="59" t="s">
        <v>56</v>
      </c>
      <c r="J19" s="59" t="s">
        <v>111</v>
      </c>
      <c r="K19" s="60" t="s">
        <v>50</v>
      </c>
      <c r="L19" s="61" t="s">
        <v>57</v>
      </c>
      <c r="M19" s="62" t="s">
        <v>63</v>
      </c>
    </row>
    <row r="20" ht="24.75" customHeight="1">
      <c r="A20" s="63" t="s">
        <v>114</v>
      </c>
      <c r="B20" s="41" t="s">
        <v>46</v>
      </c>
      <c r="C20" s="64" t="s">
        <v>99</v>
      </c>
      <c r="D20" s="84" t="s">
        <v>115</v>
      </c>
      <c r="E20" s="66">
        <v>564000.0</v>
      </c>
      <c r="F20" s="71" t="s">
        <v>107</v>
      </c>
      <c r="G20" s="45" t="s">
        <v>55</v>
      </c>
      <c r="H20" s="46" t="str">
        <f t="shared" si="1"/>
        <v>01-06</v>
      </c>
      <c r="I20" s="45" t="s">
        <v>56</v>
      </c>
      <c r="J20" s="45" t="s">
        <v>111</v>
      </c>
      <c r="K20" s="48" t="s">
        <v>50</v>
      </c>
      <c r="L20" s="68" t="s">
        <v>57</v>
      </c>
      <c r="M20" s="50" t="s">
        <v>63</v>
      </c>
    </row>
    <row r="21" ht="24.75" customHeight="1">
      <c r="A21" s="51" t="s">
        <v>116</v>
      </c>
      <c r="B21" s="52" t="s">
        <v>46</v>
      </c>
      <c r="C21" s="53" t="s">
        <v>99</v>
      </c>
      <c r="D21" s="83" t="s">
        <v>117</v>
      </c>
      <c r="E21" s="55">
        <v>26900.0</v>
      </c>
      <c r="F21" s="56" t="s">
        <v>118</v>
      </c>
      <c r="G21" s="59" t="s">
        <v>55</v>
      </c>
      <c r="H21" s="58" t="str">
        <f t="shared" si="1"/>
        <v>01-07</v>
      </c>
      <c r="I21" s="59" t="s">
        <v>62</v>
      </c>
      <c r="J21" s="59"/>
      <c r="K21" s="56" t="s">
        <v>119</v>
      </c>
      <c r="L21" s="61" t="s">
        <v>57</v>
      </c>
      <c r="M21" s="62" t="s">
        <v>63</v>
      </c>
    </row>
    <row r="22" ht="24.75" customHeight="1">
      <c r="A22" s="63"/>
      <c r="B22" s="41"/>
      <c r="C22" s="64" t="s">
        <v>99</v>
      </c>
      <c r="D22" s="41" t="s">
        <v>120</v>
      </c>
      <c r="E22" s="66">
        <v>26900.0</v>
      </c>
      <c r="F22" s="67" t="s">
        <v>118</v>
      </c>
      <c r="G22" s="45"/>
      <c r="H22" s="46"/>
      <c r="I22" s="45"/>
      <c r="J22" s="45"/>
      <c r="K22" s="67"/>
      <c r="L22" s="68"/>
      <c r="M22" s="50"/>
    </row>
    <row r="23" ht="24.75" customHeight="1">
      <c r="A23" s="51" t="s">
        <v>121</v>
      </c>
      <c r="B23" s="52" t="s">
        <v>46</v>
      </c>
      <c r="C23" s="53" t="s">
        <v>99</v>
      </c>
      <c r="D23" s="83" t="s">
        <v>122</v>
      </c>
      <c r="E23" s="55">
        <v>66600.0</v>
      </c>
      <c r="F23" s="56" t="s">
        <v>123</v>
      </c>
      <c r="G23" s="59" t="s">
        <v>55</v>
      </c>
      <c r="H23" s="58" t="str">
        <f>A23</f>
        <v>01-08</v>
      </c>
      <c r="I23" s="59" t="s">
        <v>124</v>
      </c>
      <c r="J23" s="59"/>
      <c r="K23" s="60" t="s">
        <v>50</v>
      </c>
      <c r="L23" s="61" t="s">
        <v>57</v>
      </c>
      <c r="M23" s="62" t="s">
        <v>63</v>
      </c>
    </row>
    <row r="24" ht="24.75" customHeight="1">
      <c r="A24" s="63"/>
      <c r="B24" s="41"/>
      <c r="C24" s="64" t="s">
        <v>99</v>
      </c>
      <c r="D24" s="41" t="s">
        <v>125</v>
      </c>
      <c r="E24" s="66">
        <v>66600.0</v>
      </c>
      <c r="F24" s="85" t="s">
        <v>126</v>
      </c>
      <c r="G24" s="45"/>
      <c r="H24" s="46"/>
      <c r="I24" s="45"/>
      <c r="J24" s="45"/>
      <c r="K24" s="48"/>
      <c r="L24" s="68"/>
      <c r="M24" s="50"/>
    </row>
    <row r="25" ht="24.75" customHeight="1">
      <c r="A25" s="51" t="s">
        <v>127</v>
      </c>
      <c r="B25" s="52" t="s">
        <v>46</v>
      </c>
      <c r="C25" s="53" t="s">
        <v>99</v>
      </c>
      <c r="D25" s="83" t="s">
        <v>128</v>
      </c>
      <c r="E25" s="55">
        <v>96600.0</v>
      </c>
      <c r="F25" s="56" t="s">
        <v>123</v>
      </c>
      <c r="G25" s="59" t="s">
        <v>55</v>
      </c>
      <c r="H25" s="58" t="str">
        <f t="shared" ref="H25:H61" si="2">A25</f>
        <v>01-09</v>
      </c>
      <c r="I25" s="59" t="s">
        <v>124</v>
      </c>
      <c r="J25" s="59"/>
      <c r="K25" s="60" t="s">
        <v>50</v>
      </c>
      <c r="L25" s="61" t="s">
        <v>57</v>
      </c>
      <c r="M25" s="62" t="s">
        <v>63</v>
      </c>
    </row>
    <row r="26" ht="24.75" customHeight="1">
      <c r="A26" s="63" t="s">
        <v>129</v>
      </c>
      <c r="B26" s="41" t="s">
        <v>46</v>
      </c>
      <c r="C26" s="64" t="s">
        <v>99</v>
      </c>
      <c r="D26" s="84" t="s">
        <v>130</v>
      </c>
      <c r="E26" s="66">
        <v>110800.0</v>
      </c>
      <c r="F26" s="67" t="s">
        <v>131</v>
      </c>
      <c r="G26" s="47" t="s">
        <v>75</v>
      </c>
      <c r="H26" s="46" t="str">
        <f t="shared" si="2"/>
        <v>01-10</v>
      </c>
      <c r="I26" s="45" t="s">
        <v>62</v>
      </c>
      <c r="J26" s="45"/>
      <c r="K26" s="67" t="s">
        <v>132</v>
      </c>
      <c r="L26" s="68" t="s">
        <v>57</v>
      </c>
      <c r="M26" s="50" t="s">
        <v>63</v>
      </c>
    </row>
    <row r="27" ht="32.25" customHeight="1">
      <c r="A27" s="86" t="s">
        <v>133</v>
      </c>
      <c r="B27" s="52" t="s">
        <v>46</v>
      </c>
      <c r="C27" s="53" t="s">
        <v>99</v>
      </c>
      <c r="D27" s="52" t="s">
        <v>134</v>
      </c>
      <c r="E27" s="55">
        <v>27500.0</v>
      </c>
      <c r="F27" s="69" t="s">
        <v>135</v>
      </c>
      <c r="G27" s="59" t="s">
        <v>55</v>
      </c>
      <c r="H27" s="58" t="str">
        <f t="shared" si="2"/>
        <v>01-11</v>
      </c>
      <c r="I27" s="59" t="s">
        <v>124</v>
      </c>
      <c r="J27" s="57" t="s">
        <v>136</v>
      </c>
      <c r="K27" s="60" t="s">
        <v>50</v>
      </c>
      <c r="L27" s="61" t="s">
        <v>57</v>
      </c>
      <c r="M27" s="62" t="s">
        <v>63</v>
      </c>
    </row>
    <row r="28" ht="33.75" customHeight="1">
      <c r="A28" s="87" t="s">
        <v>137</v>
      </c>
      <c r="B28" s="41" t="s">
        <v>46</v>
      </c>
      <c r="C28" s="64" t="s">
        <v>99</v>
      </c>
      <c r="D28" s="41" t="s">
        <v>138</v>
      </c>
      <c r="E28" s="66">
        <v>19300.0</v>
      </c>
      <c r="F28" s="71" t="s">
        <v>139</v>
      </c>
      <c r="G28" s="45" t="s">
        <v>55</v>
      </c>
      <c r="H28" s="46" t="str">
        <f t="shared" si="2"/>
        <v>01-12</v>
      </c>
      <c r="I28" s="45" t="s">
        <v>124</v>
      </c>
      <c r="J28" s="47" t="s">
        <v>136</v>
      </c>
      <c r="K28" s="48" t="s">
        <v>50</v>
      </c>
      <c r="L28" s="68" t="s">
        <v>57</v>
      </c>
      <c r="M28" s="50" t="s">
        <v>63</v>
      </c>
    </row>
    <row r="29" ht="53.25" customHeight="1">
      <c r="A29" s="86" t="s">
        <v>140</v>
      </c>
      <c r="B29" s="52" t="s">
        <v>46</v>
      </c>
      <c r="C29" s="53" t="s">
        <v>99</v>
      </c>
      <c r="D29" s="74" t="s">
        <v>141</v>
      </c>
      <c r="E29" s="55">
        <v>95700.0</v>
      </c>
      <c r="F29" s="56" t="s">
        <v>142</v>
      </c>
      <c r="G29" s="57" t="s">
        <v>75</v>
      </c>
      <c r="H29" s="58" t="str">
        <f t="shared" si="2"/>
        <v>01-13</v>
      </c>
      <c r="I29" s="59" t="s">
        <v>124</v>
      </c>
      <c r="J29" s="57" t="s">
        <v>143</v>
      </c>
      <c r="K29" s="56" t="s">
        <v>142</v>
      </c>
      <c r="L29" s="61" t="s">
        <v>57</v>
      </c>
      <c r="M29" s="62" t="s">
        <v>63</v>
      </c>
    </row>
    <row r="30" ht="24.75" customHeight="1">
      <c r="A30" s="40" t="s">
        <v>144</v>
      </c>
      <c r="B30" s="41" t="s">
        <v>46</v>
      </c>
      <c r="C30" s="42"/>
      <c r="D30" s="64" t="s">
        <v>145</v>
      </c>
      <c r="E30" s="44" t="s">
        <v>47</v>
      </c>
      <c r="F30" s="43" t="s">
        <v>37</v>
      </c>
      <c r="G30" s="45" t="s">
        <v>55</v>
      </c>
      <c r="H30" s="46" t="str">
        <f t="shared" si="2"/>
        <v>02-00</v>
      </c>
      <c r="I30" s="45"/>
      <c r="J30" s="45"/>
      <c r="K30" s="48" t="s">
        <v>50</v>
      </c>
      <c r="L30" s="49"/>
      <c r="M30" s="50" t="s">
        <v>63</v>
      </c>
    </row>
    <row r="31" ht="24.75" customHeight="1">
      <c r="A31" s="51" t="s">
        <v>146</v>
      </c>
      <c r="B31" s="52" t="s">
        <v>46</v>
      </c>
      <c r="C31" s="53" t="s">
        <v>147</v>
      </c>
      <c r="D31" s="83" t="s">
        <v>148</v>
      </c>
      <c r="E31" s="55">
        <v>39100.0</v>
      </c>
      <c r="F31" s="69" t="s">
        <v>149</v>
      </c>
      <c r="G31" s="57" t="s">
        <v>75</v>
      </c>
      <c r="H31" s="58" t="str">
        <f t="shared" si="2"/>
        <v>02-01</v>
      </c>
      <c r="I31" s="59"/>
      <c r="J31" s="59"/>
      <c r="K31" s="60" t="s">
        <v>50</v>
      </c>
      <c r="L31" s="61" t="s">
        <v>57</v>
      </c>
      <c r="M31" s="62" t="s">
        <v>63</v>
      </c>
    </row>
    <row r="32" ht="24.75" customHeight="1">
      <c r="A32" s="63" t="s">
        <v>150</v>
      </c>
      <c r="B32" s="41" t="s">
        <v>46</v>
      </c>
      <c r="C32" s="64" t="s">
        <v>147</v>
      </c>
      <c r="D32" s="84" t="s">
        <v>151</v>
      </c>
      <c r="E32" s="66">
        <v>39100.0</v>
      </c>
      <c r="F32" s="71" t="s">
        <v>149</v>
      </c>
      <c r="G32" s="47" t="s">
        <v>75</v>
      </c>
      <c r="H32" s="46" t="str">
        <f t="shared" si="2"/>
        <v>02-02</v>
      </c>
      <c r="I32" s="45"/>
      <c r="J32" s="45"/>
      <c r="K32" s="48" t="s">
        <v>50</v>
      </c>
      <c r="L32" s="68" t="s">
        <v>57</v>
      </c>
      <c r="M32" s="50" t="s">
        <v>63</v>
      </c>
    </row>
    <row r="33" ht="24.75" customHeight="1">
      <c r="A33" s="51" t="s">
        <v>152</v>
      </c>
      <c r="B33" s="52" t="s">
        <v>46</v>
      </c>
      <c r="C33" s="53" t="s">
        <v>147</v>
      </c>
      <c r="D33" s="83" t="s">
        <v>153</v>
      </c>
      <c r="E33" s="55">
        <v>39100.0</v>
      </c>
      <c r="F33" s="69" t="s">
        <v>149</v>
      </c>
      <c r="G33" s="57" t="s">
        <v>75</v>
      </c>
      <c r="H33" s="58" t="str">
        <f t="shared" si="2"/>
        <v>02-03</v>
      </c>
      <c r="I33" s="59"/>
      <c r="J33" s="59"/>
      <c r="K33" s="60" t="s">
        <v>50</v>
      </c>
      <c r="L33" s="61" t="s">
        <v>57</v>
      </c>
      <c r="M33" s="62" t="s">
        <v>63</v>
      </c>
    </row>
    <row r="34" ht="24.75" customHeight="1">
      <c r="A34" s="63" t="s">
        <v>154</v>
      </c>
      <c r="B34" s="41" t="s">
        <v>46</v>
      </c>
      <c r="C34" s="64" t="s">
        <v>147</v>
      </c>
      <c r="D34" s="84" t="s">
        <v>156</v>
      </c>
      <c r="E34" s="66">
        <v>34700.0</v>
      </c>
      <c r="F34" s="71" t="s">
        <v>149</v>
      </c>
      <c r="G34" s="47" t="s">
        <v>75</v>
      </c>
      <c r="H34" s="46" t="str">
        <f t="shared" si="2"/>
        <v>02-04</v>
      </c>
      <c r="I34" s="45"/>
      <c r="J34" s="45"/>
      <c r="K34" s="48" t="s">
        <v>50</v>
      </c>
      <c r="L34" s="68" t="s">
        <v>57</v>
      </c>
      <c r="M34" s="50" t="s">
        <v>63</v>
      </c>
    </row>
    <row r="35" ht="24.75" customHeight="1">
      <c r="A35" s="51" t="s">
        <v>158</v>
      </c>
      <c r="B35" s="52" t="s">
        <v>46</v>
      </c>
      <c r="C35" s="53" t="s">
        <v>147</v>
      </c>
      <c r="D35" s="83" t="s">
        <v>159</v>
      </c>
      <c r="E35" s="55">
        <v>34700.0</v>
      </c>
      <c r="F35" s="69" t="s">
        <v>149</v>
      </c>
      <c r="G35" s="57" t="s">
        <v>75</v>
      </c>
      <c r="H35" s="58" t="str">
        <f t="shared" si="2"/>
        <v>02-05</v>
      </c>
      <c r="I35" s="59"/>
      <c r="J35" s="59"/>
      <c r="K35" s="60" t="s">
        <v>50</v>
      </c>
      <c r="L35" s="61" t="s">
        <v>57</v>
      </c>
      <c r="M35" s="62" t="s">
        <v>63</v>
      </c>
    </row>
    <row r="36" ht="24.75" customHeight="1">
      <c r="A36" s="63" t="s">
        <v>160</v>
      </c>
      <c r="B36" s="41" t="s">
        <v>46</v>
      </c>
      <c r="C36" s="64" t="s">
        <v>147</v>
      </c>
      <c r="D36" s="84" t="s">
        <v>161</v>
      </c>
      <c r="E36" s="66">
        <v>34700.0</v>
      </c>
      <c r="F36" s="71" t="s">
        <v>149</v>
      </c>
      <c r="G36" s="47" t="s">
        <v>75</v>
      </c>
      <c r="H36" s="46" t="str">
        <f t="shared" si="2"/>
        <v>02-06</v>
      </c>
      <c r="I36" s="45"/>
      <c r="J36" s="45"/>
      <c r="K36" s="48" t="s">
        <v>50</v>
      </c>
      <c r="L36" s="68" t="s">
        <v>57</v>
      </c>
      <c r="M36" s="50" t="s">
        <v>63</v>
      </c>
    </row>
    <row r="37" ht="24.75" customHeight="1">
      <c r="A37" s="51" t="s">
        <v>162</v>
      </c>
      <c r="B37" s="52" t="s">
        <v>46</v>
      </c>
      <c r="C37" s="53" t="s">
        <v>147</v>
      </c>
      <c r="D37" s="83" t="s">
        <v>163</v>
      </c>
      <c r="E37" s="55">
        <v>34700.0</v>
      </c>
      <c r="F37" s="69" t="s">
        <v>149</v>
      </c>
      <c r="G37" s="57" t="s">
        <v>75</v>
      </c>
      <c r="H37" s="58" t="str">
        <f t="shared" si="2"/>
        <v>02-07</v>
      </c>
      <c r="I37" s="59"/>
      <c r="J37" s="59"/>
      <c r="K37" s="60" t="s">
        <v>50</v>
      </c>
      <c r="L37" s="61" t="s">
        <v>57</v>
      </c>
      <c r="M37" s="62" t="s">
        <v>63</v>
      </c>
    </row>
    <row r="38" ht="24.75" customHeight="1">
      <c r="A38" s="63" t="s">
        <v>165</v>
      </c>
      <c r="B38" s="41" t="s">
        <v>46</v>
      </c>
      <c r="C38" s="64" t="s">
        <v>147</v>
      </c>
      <c r="D38" s="84" t="s">
        <v>166</v>
      </c>
      <c r="E38" s="66">
        <v>29000.0</v>
      </c>
      <c r="F38" s="71" t="s">
        <v>149</v>
      </c>
      <c r="G38" s="47" t="s">
        <v>75</v>
      </c>
      <c r="H38" s="46" t="str">
        <f t="shared" si="2"/>
        <v>02-08</v>
      </c>
      <c r="I38" s="45"/>
      <c r="J38" s="45"/>
      <c r="K38" s="48" t="s">
        <v>50</v>
      </c>
      <c r="L38" s="68" t="s">
        <v>57</v>
      </c>
      <c r="M38" s="50" t="s">
        <v>63</v>
      </c>
    </row>
    <row r="39" ht="24.75" customHeight="1">
      <c r="A39" s="51" t="s">
        <v>167</v>
      </c>
      <c r="B39" s="52" t="s">
        <v>46</v>
      </c>
      <c r="C39" s="53" t="s">
        <v>147</v>
      </c>
      <c r="D39" s="83" t="s">
        <v>168</v>
      </c>
      <c r="E39" s="55">
        <v>29000.0</v>
      </c>
      <c r="F39" s="69" t="s">
        <v>149</v>
      </c>
      <c r="G39" s="57" t="s">
        <v>75</v>
      </c>
      <c r="H39" s="58" t="str">
        <f t="shared" si="2"/>
        <v>02-09</v>
      </c>
      <c r="I39" s="59"/>
      <c r="J39" s="59"/>
      <c r="K39" s="60" t="s">
        <v>50</v>
      </c>
      <c r="L39" s="61" t="s">
        <v>57</v>
      </c>
      <c r="M39" s="62" t="s">
        <v>63</v>
      </c>
    </row>
    <row r="40" ht="24.75" customHeight="1">
      <c r="A40" s="63" t="s">
        <v>170</v>
      </c>
      <c r="B40" s="41" t="s">
        <v>46</v>
      </c>
      <c r="C40" s="64" t="s">
        <v>147</v>
      </c>
      <c r="D40" s="84" t="s">
        <v>171</v>
      </c>
      <c r="E40" s="66">
        <v>29000.0</v>
      </c>
      <c r="F40" s="71" t="s">
        <v>149</v>
      </c>
      <c r="G40" s="47" t="s">
        <v>75</v>
      </c>
      <c r="H40" s="46" t="str">
        <f t="shared" si="2"/>
        <v>02-10</v>
      </c>
      <c r="I40" s="45"/>
      <c r="J40" s="45"/>
      <c r="K40" s="48" t="s">
        <v>50</v>
      </c>
      <c r="L40" s="68" t="s">
        <v>57</v>
      </c>
      <c r="M40" s="50" t="s">
        <v>63</v>
      </c>
    </row>
    <row r="41" ht="24.75" customHeight="1">
      <c r="A41" s="51" t="s">
        <v>173</v>
      </c>
      <c r="B41" s="52" t="s">
        <v>46</v>
      </c>
      <c r="C41" s="53" t="s">
        <v>147</v>
      </c>
      <c r="D41" s="83" t="s">
        <v>174</v>
      </c>
      <c r="E41" s="55">
        <v>23700.0</v>
      </c>
      <c r="F41" s="69" t="s">
        <v>149</v>
      </c>
      <c r="G41" s="57" t="s">
        <v>75</v>
      </c>
      <c r="H41" s="58" t="str">
        <f t="shared" si="2"/>
        <v>02-11</v>
      </c>
      <c r="I41" s="59"/>
      <c r="J41" s="59"/>
      <c r="K41" s="60" t="s">
        <v>50</v>
      </c>
      <c r="L41" s="61" t="s">
        <v>57</v>
      </c>
      <c r="M41" s="62" t="s">
        <v>63</v>
      </c>
    </row>
    <row r="42" ht="24.75" customHeight="1">
      <c r="A42" s="63" t="s">
        <v>175</v>
      </c>
      <c r="B42" s="41" t="s">
        <v>46</v>
      </c>
      <c r="C42" s="64" t="s">
        <v>147</v>
      </c>
      <c r="D42" s="84" t="s">
        <v>176</v>
      </c>
      <c r="E42" s="66">
        <v>23700.0</v>
      </c>
      <c r="F42" s="71" t="s">
        <v>149</v>
      </c>
      <c r="G42" s="47" t="s">
        <v>75</v>
      </c>
      <c r="H42" s="46" t="str">
        <f t="shared" si="2"/>
        <v>02-12</v>
      </c>
      <c r="I42" s="45"/>
      <c r="J42" s="45"/>
      <c r="K42" s="48" t="s">
        <v>50</v>
      </c>
      <c r="L42" s="68" t="s">
        <v>57</v>
      </c>
      <c r="M42" s="50" t="s">
        <v>63</v>
      </c>
    </row>
    <row r="43" ht="24.75" customHeight="1">
      <c r="A43" s="51" t="s">
        <v>177</v>
      </c>
      <c r="B43" s="52" t="s">
        <v>46</v>
      </c>
      <c r="C43" s="53" t="s">
        <v>147</v>
      </c>
      <c r="D43" s="83" t="s">
        <v>171</v>
      </c>
      <c r="E43" s="55">
        <v>23700.0</v>
      </c>
      <c r="F43" s="69" t="s">
        <v>149</v>
      </c>
      <c r="G43" s="57" t="s">
        <v>75</v>
      </c>
      <c r="H43" s="58" t="str">
        <f t="shared" si="2"/>
        <v>02-13</v>
      </c>
      <c r="I43" s="59"/>
      <c r="J43" s="59"/>
      <c r="K43" s="60" t="s">
        <v>50</v>
      </c>
      <c r="L43" s="61" t="s">
        <v>57</v>
      </c>
      <c r="M43" s="62" t="s">
        <v>63</v>
      </c>
    </row>
    <row r="44" ht="24.75" customHeight="1">
      <c r="A44" s="63" t="s">
        <v>178</v>
      </c>
      <c r="B44" s="41" t="s">
        <v>46</v>
      </c>
      <c r="C44" s="64" t="s">
        <v>147</v>
      </c>
      <c r="D44" s="84" t="s">
        <v>179</v>
      </c>
      <c r="E44" s="66">
        <v>29000.0</v>
      </c>
      <c r="F44" s="71" t="s">
        <v>149</v>
      </c>
      <c r="G44" s="47" t="s">
        <v>75</v>
      </c>
      <c r="H44" s="46" t="str">
        <f t="shared" si="2"/>
        <v>02-14</v>
      </c>
      <c r="I44" s="45"/>
      <c r="J44" s="45"/>
      <c r="K44" s="48" t="s">
        <v>50</v>
      </c>
      <c r="L44" s="68" t="s">
        <v>57</v>
      </c>
      <c r="M44" s="50" t="s">
        <v>63</v>
      </c>
    </row>
    <row r="45" ht="24.75" customHeight="1">
      <c r="A45" s="51" t="s">
        <v>181</v>
      </c>
      <c r="B45" s="52" t="s">
        <v>46</v>
      </c>
      <c r="C45" s="53" t="s">
        <v>147</v>
      </c>
      <c r="D45" s="83" t="s">
        <v>182</v>
      </c>
      <c r="E45" s="55">
        <v>43400.0</v>
      </c>
      <c r="F45" s="69" t="s">
        <v>149</v>
      </c>
      <c r="G45" s="57" t="s">
        <v>75</v>
      </c>
      <c r="H45" s="58" t="str">
        <f t="shared" si="2"/>
        <v>02-15</v>
      </c>
      <c r="I45" s="59"/>
      <c r="J45" s="59"/>
      <c r="K45" s="60" t="s">
        <v>50</v>
      </c>
      <c r="L45" s="61" t="s">
        <v>57</v>
      </c>
      <c r="M45" s="62" t="s">
        <v>63</v>
      </c>
    </row>
    <row r="46" ht="24.75" customHeight="1">
      <c r="A46" s="63" t="s">
        <v>183</v>
      </c>
      <c r="B46" s="41" t="s">
        <v>46</v>
      </c>
      <c r="C46" s="64" t="s">
        <v>147</v>
      </c>
      <c r="D46" s="84" t="s">
        <v>184</v>
      </c>
      <c r="E46" s="66">
        <v>43400.0</v>
      </c>
      <c r="F46" s="71" t="s">
        <v>149</v>
      </c>
      <c r="G46" s="47" t="s">
        <v>75</v>
      </c>
      <c r="H46" s="46" t="str">
        <f t="shared" si="2"/>
        <v>02-16</v>
      </c>
      <c r="I46" s="45"/>
      <c r="J46" s="45"/>
      <c r="K46" s="48" t="s">
        <v>50</v>
      </c>
      <c r="L46" s="68" t="s">
        <v>57</v>
      </c>
      <c r="M46" s="50" t="s">
        <v>63</v>
      </c>
    </row>
    <row r="47" ht="24.75" customHeight="1">
      <c r="A47" s="51" t="s">
        <v>185</v>
      </c>
      <c r="B47" s="52" t="s">
        <v>46</v>
      </c>
      <c r="C47" s="53" t="s">
        <v>147</v>
      </c>
      <c r="D47" s="83" t="s">
        <v>186</v>
      </c>
      <c r="E47" s="55">
        <v>43400.0</v>
      </c>
      <c r="F47" s="69" t="s">
        <v>149</v>
      </c>
      <c r="G47" s="57" t="s">
        <v>75</v>
      </c>
      <c r="H47" s="58" t="str">
        <f t="shared" si="2"/>
        <v>02-17</v>
      </c>
      <c r="I47" s="59"/>
      <c r="J47" s="59"/>
      <c r="K47" s="60" t="s">
        <v>50</v>
      </c>
      <c r="L47" s="61" t="s">
        <v>57</v>
      </c>
      <c r="M47" s="62" t="s">
        <v>63</v>
      </c>
    </row>
    <row r="48" ht="24.75" customHeight="1">
      <c r="A48" s="63" t="s">
        <v>187</v>
      </c>
      <c r="B48" s="41" t="s">
        <v>46</v>
      </c>
      <c r="C48" s="64" t="s">
        <v>147</v>
      </c>
      <c r="D48" s="84" t="s">
        <v>188</v>
      </c>
      <c r="E48" s="66">
        <v>41200.0</v>
      </c>
      <c r="F48" s="71" t="s">
        <v>149</v>
      </c>
      <c r="G48" s="47" t="s">
        <v>75</v>
      </c>
      <c r="H48" s="46" t="str">
        <f t="shared" si="2"/>
        <v>02-18</v>
      </c>
      <c r="I48" s="45"/>
      <c r="J48" s="45"/>
      <c r="K48" s="48" t="s">
        <v>50</v>
      </c>
      <c r="L48" s="68" t="s">
        <v>57</v>
      </c>
      <c r="M48" s="50" t="s">
        <v>63</v>
      </c>
    </row>
    <row r="49" ht="24.75" customHeight="1">
      <c r="A49" s="51" t="s">
        <v>189</v>
      </c>
      <c r="B49" s="52" t="s">
        <v>46</v>
      </c>
      <c r="C49" s="53" t="s">
        <v>147</v>
      </c>
      <c r="D49" s="83" t="s">
        <v>190</v>
      </c>
      <c r="E49" s="55">
        <v>41200.0</v>
      </c>
      <c r="F49" s="69" t="s">
        <v>149</v>
      </c>
      <c r="G49" s="57" t="s">
        <v>75</v>
      </c>
      <c r="H49" s="58" t="str">
        <f t="shared" si="2"/>
        <v>02-19</v>
      </c>
      <c r="I49" s="59"/>
      <c r="J49" s="59"/>
      <c r="K49" s="60" t="s">
        <v>50</v>
      </c>
      <c r="L49" s="61" t="s">
        <v>57</v>
      </c>
      <c r="M49" s="62" t="s">
        <v>63</v>
      </c>
    </row>
    <row r="50" ht="24.75" customHeight="1">
      <c r="A50" s="63" t="s">
        <v>191</v>
      </c>
      <c r="B50" s="41" t="s">
        <v>46</v>
      </c>
      <c r="C50" s="64" t="s">
        <v>147</v>
      </c>
      <c r="D50" s="84" t="s">
        <v>192</v>
      </c>
      <c r="E50" s="66">
        <v>41200.0</v>
      </c>
      <c r="F50" s="71" t="s">
        <v>149</v>
      </c>
      <c r="G50" s="47" t="s">
        <v>75</v>
      </c>
      <c r="H50" s="46" t="str">
        <f t="shared" si="2"/>
        <v>02-20</v>
      </c>
      <c r="I50" s="45"/>
      <c r="J50" s="45"/>
      <c r="K50" s="48" t="s">
        <v>50</v>
      </c>
      <c r="L50" s="68" t="s">
        <v>57</v>
      </c>
      <c r="M50" s="50" t="s">
        <v>63</v>
      </c>
    </row>
    <row r="51" ht="24.75" customHeight="1">
      <c r="A51" s="51" t="s">
        <v>193</v>
      </c>
      <c r="B51" s="52" t="s">
        <v>46</v>
      </c>
      <c r="C51" s="53" t="s">
        <v>147</v>
      </c>
      <c r="D51" s="83" t="s">
        <v>194</v>
      </c>
      <c r="E51" s="55">
        <v>43400.0</v>
      </c>
      <c r="F51" s="69" t="s">
        <v>149</v>
      </c>
      <c r="G51" s="57" t="s">
        <v>75</v>
      </c>
      <c r="H51" s="58" t="str">
        <f t="shared" si="2"/>
        <v>02-21</v>
      </c>
      <c r="I51" s="59"/>
      <c r="J51" s="59"/>
      <c r="K51" s="60" t="s">
        <v>50</v>
      </c>
      <c r="L51" s="61" t="s">
        <v>57</v>
      </c>
      <c r="M51" s="62" t="s">
        <v>63</v>
      </c>
    </row>
    <row r="52" ht="24.75" customHeight="1">
      <c r="A52" s="40" t="s">
        <v>195</v>
      </c>
      <c r="B52" s="41" t="s">
        <v>46</v>
      </c>
      <c r="C52" s="42"/>
      <c r="D52" s="116" t="s">
        <v>196</v>
      </c>
      <c r="E52" s="44" t="s">
        <v>47</v>
      </c>
      <c r="F52" s="43" t="s">
        <v>37</v>
      </c>
      <c r="G52" s="47"/>
      <c r="H52" s="46" t="str">
        <f t="shared" si="2"/>
        <v>03-00</v>
      </c>
      <c r="I52" s="45"/>
      <c r="J52" s="45"/>
      <c r="K52" s="48" t="s">
        <v>50</v>
      </c>
      <c r="L52" s="49"/>
      <c r="M52" s="50" t="s">
        <v>63</v>
      </c>
    </row>
    <row r="53" ht="24.75" customHeight="1">
      <c r="A53" s="51" t="s">
        <v>197</v>
      </c>
      <c r="B53" s="52" t="s">
        <v>46</v>
      </c>
      <c r="C53" s="53" t="s">
        <v>198</v>
      </c>
      <c r="D53" s="83" t="s">
        <v>199</v>
      </c>
      <c r="E53" s="55">
        <v>36200.0</v>
      </c>
      <c r="F53" s="69" t="s">
        <v>200</v>
      </c>
      <c r="G53" s="57" t="s">
        <v>75</v>
      </c>
      <c r="H53" s="58" t="str">
        <f t="shared" si="2"/>
        <v>03-01</v>
      </c>
      <c r="I53" s="59"/>
      <c r="J53" s="59"/>
      <c r="K53" s="60" t="s">
        <v>50</v>
      </c>
      <c r="L53" s="61" t="s">
        <v>57</v>
      </c>
      <c r="M53" s="62" t="s">
        <v>63</v>
      </c>
    </row>
    <row r="54" ht="27.0" customHeight="1">
      <c r="A54" s="63" t="s">
        <v>201</v>
      </c>
      <c r="B54" s="41" t="s">
        <v>46</v>
      </c>
      <c r="C54" s="64" t="s">
        <v>198</v>
      </c>
      <c r="D54" s="84" t="s">
        <v>202</v>
      </c>
      <c r="E54" s="66">
        <v>36200.0</v>
      </c>
      <c r="F54" s="71" t="s">
        <v>200</v>
      </c>
      <c r="G54" s="47" t="s">
        <v>75</v>
      </c>
      <c r="H54" s="46" t="str">
        <f t="shared" si="2"/>
        <v>03-02</v>
      </c>
      <c r="I54" s="45"/>
      <c r="J54" s="45"/>
      <c r="K54" s="48" t="s">
        <v>50</v>
      </c>
      <c r="L54" s="68" t="s">
        <v>57</v>
      </c>
      <c r="M54" s="50" t="s">
        <v>63</v>
      </c>
    </row>
    <row r="55" ht="27.0" customHeight="1">
      <c r="A55" s="118" t="s">
        <v>203</v>
      </c>
      <c r="B55" s="52" t="s">
        <v>46</v>
      </c>
      <c r="C55" s="119"/>
      <c r="D55" s="116" t="s">
        <v>204</v>
      </c>
      <c r="E55" s="120" t="s">
        <v>47</v>
      </c>
      <c r="F55" s="121" t="s">
        <v>37</v>
      </c>
      <c r="G55" s="59"/>
      <c r="H55" s="58" t="str">
        <f t="shared" si="2"/>
        <v>04-00</v>
      </c>
      <c r="I55" s="59"/>
      <c r="J55" s="59"/>
      <c r="K55" s="60" t="s">
        <v>50</v>
      </c>
      <c r="L55" s="122"/>
      <c r="M55" s="62" t="s">
        <v>63</v>
      </c>
    </row>
    <row r="56" ht="27.0" customHeight="1">
      <c r="A56" s="63" t="s">
        <v>205</v>
      </c>
      <c r="B56" s="41" t="s">
        <v>46</v>
      </c>
      <c r="C56" s="64" t="s">
        <v>206</v>
      </c>
      <c r="D56" s="84" t="s">
        <v>207</v>
      </c>
      <c r="E56" s="66">
        <v>34500.0</v>
      </c>
      <c r="F56" s="71" t="s">
        <v>208</v>
      </c>
      <c r="G56" s="47" t="s">
        <v>75</v>
      </c>
      <c r="H56" s="46" t="str">
        <f t="shared" si="2"/>
        <v>04-01</v>
      </c>
      <c r="I56" s="45" t="s">
        <v>62</v>
      </c>
      <c r="J56" s="45"/>
      <c r="K56" s="123" t="s">
        <v>209</v>
      </c>
      <c r="L56" s="68" t="s">
        <v>57</v>
      </c>
      <c r="M56" s="50" t="s">
        <v>63</v>
      </c>
    </row>
    <row r="57" ht="27.0" customHeight="1">
      <c r="A57" s="51" t="s">
        <v>210</v>
      </c>
      <c r="B57" s="52" t="s">
        <v>46</v>
      </c>
      <c r="C57" s="53" t="s">
        <v>206</v>
      </c>
      <c r="D57" s="83" t="s">
        <v>211</v>
      </c>
      <c r="E57" s="55">
        <v>31700.0</v>
      </c>
      <c r="F57" s="69" t="s">
        <v>208</v>
      </c>
      <c r="G57" s="57" t="s">
        <v>75</v>
      </c>
      <c r="H57" s="58" t="str">
        <f t="shared" si="2"/>
        <v>04-02</v>
      </c>
      <c r="I57" s="59" t="s">
        <v>62</v>
      </c>
      <c r="J57" s="59"/>
      <c r="K57" s="124" t="s">
        <v>209</v>
      </c>
      <c r="L57" s="61" t="s">
        <v>57</v>
      </c>
      <c r="M57" s="62" t="s">
        <v>63</v>
      </c>
    </row>
    <row r="58" ht="27.0" customHeight="1">
      <c r="A58" s="63" t="s">
        <v>212</v>
      </c>
      <c r="B58" s="41" t="s">
        <v>46</v>
      </c>
      <c r="C58" s="64" t="s">
        <v>206</v>
      </c>
      <c r="D58" s="84" t="s">
        <v>213</v>
      </c>
      <c r="E58" s="66">
        <v>37900.0</v>
      </c>
      <c r="F58" s="71" t="s">
        <v>208</v>
      </c>
      <c r="G58" s="47" t="s">
        <v>75</v>
      </c>
      <c r="H58" s="46" t="str">
        <f t="shared" si="2"/>
        <v>04-03</v>
      </c>
      <c r="I58" s="45" t="s">
        <v>124</v>
      </c>
      <c r="J58" s="45" t="s">
        <v>214</v>
      </c>
      <c r="K58" s="123" t="s">
        <v>209</v>
      </c>
      <c r="L58" s="68" t="s">
        <v>57</v>
      </c>
      <c r="M58" s="50" t="s">
        <v>63</v>
      </c>
    </row>
    <row r="59" ht="27.0" customHeight="1">
      <c r="A59" s="51" t="s">
        <v>215</v>
      </c>
      <c r="B59" s="52" t="s">
        <v>46</v>
      </c>
      <c r="C59" s="53" t="s">
        <v>206</v>
      </c>
      <c r="D59" s="83" t="s">
        <v>216</v>
      </c>
      <c r="E59" s="55">
        <v>34900.0</v>
      </c>
      <c r="F59" s="69" t="s">
        <v>208</v>
      </c>
      <c r="G59" s="57" t="s">
        <v>75</v>
      </c>
      <c r="H59" s="58" t="str">
        <f t="shared" si="2"/>
        <v>04-04</v>
      </c>
      <c r="I59" s="59" t="s">
        <v>124</v>
      </c>
      <c r="J59" s="59" t="s">
        <v>214</v>
      </c>
      <c r="K59" s="124" t="s">
        <v>209</v>
      </c>
      <c r="L59" s="61" t="s">
        <v>57</v>
      </c>
      <c r="M59" s="62" t="s">
        <v>63</v>
      </c>
    </row>
    <row r="60" ht="27.0" customHeight="1">
      <c r="A60" s="63" t="s">
        <v>217</v>
      </c>
      <c r="B60" s="41" t="s">
        <v>46</v>
      </c>
      <c r="C60" s="64" t="s">
        <v>206</v>
      </c>
      <c r="D60" s="84" t="s">
        <v>218</v>
      </c>
      <c r="E60" s="66">
        <v>6900.0</v>
      </c>
      <c r="F60" s="71" t="s">
        <v>208</v>
      </c>
      <c r="G60" s="47" t="s">
        <v>75</v>
      </c>
      <c r="H60" s="46" t="str">
        <f t="shared" si="2"/>
        <v>04-05</v>
      </c>
      <c r="I60" s="45" t="s">
        <v>62</v>
      </c>
      <c r="J60" s="45" t="s">
        <v>219</v>
      </c>
      <c r="K60" s="123" t="s">
        <v>209</v>
      </c>
      <c r="L60" s="68" t="s">
        <v>57</v>
      </c>
      <c r="M60" s="50" t="s">
        <v>63</v>
      </c>
    </row>
    <row r="61" ht="27.0" customHeight="1">
      <c r="A61" s="118" t="s">
        <v>220</v>
      </c>
      <c r="B61" s="52" t="s">
        <v>46</v>
      </c>
      <c r="C61" s="119"/>
      <c r="D61" s="125" t="s">
        <v>221</v>
      </c>
      <c r="E61" s="120" t="s">
        <v>47</v>
      </c>
      <c r="F61" s="121" t="s">
        <v>37</v>
      </c>
      <c r="G61" s="59"/>
      <c r="H61" s="58" t="str">
        <f t="shared" si="2"/>
        <v>05-00</v>
      </c>
      <c r="I61" s="59"/>
      <c r="J61" s="59"/>
      <c r="K61" s="60" t="s">
        <v>50</v>
      </c>
      <c r="L61" s="122"/>
      <c r="M61" s="62" t="s">
        <v>63</v>
      </c>
    </row>
    <row r="62">
      <c r="A62" s="63" t="s">
        <v>222</v>
      </c>
      <c r="B62" s="41" t="s">
        <v>46</v>
      </c>
      <c r="C62" s="64" t="s">
        <v>223</v>
      </c>
      <c r="D62" s="41" t="s">
        <v>224</v>
      </c>
      <c r="E62" s="66">
        <v>30600.0</v>
      </c>
      <c r="F62" s="67" t="s">
        <v>225</v>
      </c>
      <c r="G62" s="45"/>
      <c r="H62" s="46"/>
      <c r="I62" s="47"/>
      <c r="J62" s="45"/>
      <c r="K62" s="126"/>
      <c r="L62" s="68" t="s">
        <v>57</v>
      </c>
      <c r="M62" s="50"/>
    </row>
    <row r="63" ht="27.0" customHeight="1">
      <c r="A63" s="51" t="s">
        <v>226</v>
      </c>
      <c r="B63" s="52" t="s">
        <v>46</v>
      </c>
      <c r="C63" s="53" t="s">
        <v>223</v>
      </c>
      <c r="D63" s="52" t="s">
        <v>227</v>
      </c>
      <c r="E63" s="55">
        <v>30600.0</v>
      </c>
      <c r="F63" s="56" t="s">
        <v>225</v>
      </c>
      <c r="G63" s="59" t="s">
        <v>55</v>
      </c>
      <c r="H63" s="58" t="str">
        <f t="shared" ref="H63:H146" si="3">A63</f>
        <v>05-02</v>
      </c>
      <c r="I63" s="57" t="s">
        <v>62</v>
      </c>
      <c r="J63" s="59"/>
      <c r="K63" s="127" t="s">
        <v>228</v>
      </c>
      <c r="L63" s="61" t="s">
        <v>57</v>
      </c>
      <c r="M63" s="62" t="s">
        <v>63</v>
      </c>
    </row>
    <row r="64" ht="27.0" customHeight="1">
      <c r="A64" s="63" t="s">
        <v>229</v>
      </c>
      <c r="B64" s="41" t="s">
        <v>46</v>
      </c>
      <c r="C64" s="64" t="s">
        <v>223</v>
      </c>
      <c r="D64" s="41" t="s">
        <v>230</v>
      </c>
      <c r="E64" s="66">
        <v>28900.0</v>
      </c>
      <c r="F64" s="67" t="s">
        <v>231</v>
      </c>
      <c r="G64" s="45" t="s">
        <v>55</v>
      </c>
      <c r="H64" s="46" t="str">
        <f t="shared" si="3"/>
        <v>05-03</v>
      </c>
      <c r="I64" s="47" t="s">
        <v>62</v>
      </c>
      <c r="J64" s="45"/>
      <c r="K64" s="126" t="s">
        <v>228</v>
      </c>
      <c r="L64" s="68" t="s">
        <v>57</v>
      </c>
      <c r="M64" s="50" t="s">
        <v>63</v>
      </c>
    </row>
    <row r="65" ht="27.0" customHeight="1">
      <c r="A65" s="128" t="s">
        <v>232</v>
      </c>
      <c r="B65" s="52" t="s">
        <v>46</v>
      </c>
      <c r="C65" s="53" t="s">
        <v>223</v>
      </c>
      <c r="D65" s="52" t="s">
        <v>233</v>
      </c>
      <c r="E65" s="55">
        <v>5700.0</v>
      </c>
      <c r="F65" s="56" t="s">
        <v>231</v>
      </c>
      <c r="G65" s="59" t="s">
        <v>55</v>
      </c>
      <c r="H65" s="58" t="str">
        <f t="shared" si="3"/>
        <v>05-04</v>
      </c>
      <c r="I65" s="57" t="s">
        <v>62</v>
      </c>
      <c r="J65" s="59"/>
      <c r="K65" s="127" t="s">
        <v>234</v>
      </c>
      <c r="L65" s="61" t="s">
        <v>57</v>
      </c>
      <c r="M65" s="62" t="s">
        <v>63</v>
      </c>
    </row>
    <row r="66" ht="27.0" customHeight="1">
      <c r="A66" s="40" t="s">
        <v>235</v>
      </c>
      <c r="B66" s="41" t="s">
        <v>46</v>
      </c>
      <c r="C66" s="42"/>
      <c r="D66" s="125" t="s">
        <v>236</v>
      </c>
      <c r="E66" s="44" t="s">
        <v>47</v>
      </c>
      <c r="F66" s="43" t="s">
        <v>37</v>
      </c>
      <c r="G66" s="45"/>
      <c r="H66" s="46" t="str">
        <f t="shared" si="3"/>
        <v>06-00</v>
      </c>
      <c r="I66" s="47" t="s">
        <v>49</v>
      </c>
      <c r="J66" s="45"/>
      <c r="K66" s="48" t="s">
        <v>50</v>
      </c>
      <c r="L66" s="49"/>
      <c r="M66" s="50" t="s">
        <v>63</v>
      </c>
    </row>
    <row r="67" ht="27.0" customHeight="1">
      <c r="A67" s="51" t="s">
        <v>237</v>
      </c>
      <c r="B67" s="52" t="s">
        <v>46</v>
      </c>
      <c r="C67" s="53" t="s">
        <v>238</v>
      </c>
      <c r="D67" s="83" t="s">
        <v>239</v>
      </c>
      <c r="E67" s="55">
        <v>34600.0</v>
      </c>
      <c r="F67" s="69" t="s">
        <v>240</v>
      </c>
      <c r="G67" s="59" t="s">
        <v>55</v>
      </c>
      <c r="H67" s="58" t="str">
        <f t="shared" si="3"/>
        <v>06-01</v>
      </c>
      <c r="I67" s="57" t="s">
        <v>49</v>
      </c>
      <c r="J67" s="59"/>
      <c r="K67" s="60" t="s">
        <v>50</v>
      </c>
      <c r="L67" s="61" t="s">
        <v>57</v>
      </c>
      <c r="M67" s="62" t="s">
        <v>63</v>
      </c>
    </row>
    <row r="68" ht="27.0" customHeight="1">
      <c r="A68" s="63" t="s">
        <v>241</v>
      </c>
      <c r="B68" s="41" t="s">
        <v>46</v>
      </c>
      <c r="C68" s="64" t="s">
        <v>238</v>
      </c>
      <c r="D68" s="84" t="s">
        <v>242</v>
      </c>
      <c r="E68" s="66">
        <v>89800.0</v>
      </c>
      <c r="F68" s="71" t="s">
        <v>240</v>
      </c>
      <c r="G68" s="45" t="s">
        <v>55</v>
      </c>
      <c r="H68" s="46" t="str">
        <f t="shared" si="3"/>
        <v>06-02</v>
      </c>
      <c r="I68" s="47" t="s">
        <v>49</v>
      </c>
      <c r="J68" s="45"/>
      <c r="K68" s="48" t="s">
        <v>50</v>
      </c>
      <c r="L68" s="68" t="s">
        <v>57</v>
      </c>
      <c r="M68" s="50" t="s">
        <v>63</v>
      </c>
    </row>
    <row r="69" ht="27.0" customHeight="1">
      <c r="A69" s="51" t="s">
        <v>243</v>
      </c>
      <c r="B69" s="52" t="s">
        <v>46</v>
      </c>
      <c r="C69" s="53" t="s">
        <v>238</v>
      </c>
      <c r="D69" s="83" t="s">
        <v>244</v>
      </c>
      <c r="E69" s="55">
        <v>47500.0</v>
      </c>
      <c r="F69" s="69" t="s">
        <v>240</v>
      </c>
      <c r="G69" s="57" t="s">
        <v>75</v>
      </c>
      <c r="H69" s="58" t="str">
        <f t="shared" si="3"/>
        <v>06-03</v>
      </c>
      <c r="I69" s="57" t="s">
        <v>49</v>
      </c>
      <c r="J69" s="59"/>
      <c r="K69" s="60" t="s">
        <v>50</v>
      </c>
      <c r="L69" s="61" t="s">
        <v>57</v>
      </c>
      <c r="M69" s="62" t="s">
        <v>63</v>
      </c>
    </row>
    <row r="70" ht="27.0" customHeight="1">
      <c r="A70" s="63" t="s">
        <v>245</v>
      </c>
      <c r="B70" s="41" t="s">
        <v>46</v>
      </c>
      <c r="C70" s="64" t="s">
        <v>238</v>
      </c>
      <c r="D70" s="84" t="s">
        <v>246</v>
      </c>
      <c r="E70" s="66">
        <v>39500.0</v>
      </c>
      <c r="F70" s="71" t="s">
        <v>240</v>
      </c>
      <c r="G70" s="47" t="s">
        <v>75</v>
      </c>
      <c r="H70" s="46" t="str">
        <f t="shared" si="3"/>
        <v>06-04</v>
      </c>
      <c r="I70" s="47" t="s">
        <v>49</v>
      </c>
      <c r="J70" s="45"/>
      <c r="K70" s="48" t="s">
        <v>50</v>
      </c>
      <c r="L70" s="68" t="s">
        <v>57</v>
      </c>
      <c r="M70" s="50" t="s">
        <v>63</v>
      </c>
    </row>
    <row r="71" ht="27.0" customHeight="1">
      <c r="A71" s="51" t="s">
        <v>247</v>
      </c>
      <c r="B71" s="52" t="s">
        <v>46</v>
      </c>
      <c r="C71" s="53" t="s">
        <v>238</v>
      </c>
      <c r="D71" s="83" t="s">
        <v>248</v>
      </c>
      <c r="E71" s="55">
        <v>20500.0</v>
      </c>
      <c r="F71" s="69" t="s">
        <v>240</v>
      </c>
      <c r="G71" s="57" t="s">
        <v>75</v>
      </c>
      <c r="H71" s="58" t="str">
        <f t="shared" si="3"/>
        <v>06-05</v>
      </c>
      <c r="I71" s="57" t="s">
        <v>49</v>
      </c>
      <c r="J71" s="59"/>
      <c r="K71" s="60" t="s">
        <v>50</v>
      </c>
      <c r="L71" s="61" t="s">
        <v>57</v>
      </c>
      <c r="M71" s="62" t="s">
        <v>63</v>
      </c>
    </row>
    <row r="72" ht="27.0" customHeight="1">
      <c r="A72" s="63" t="s">
        <v>249</v>
      </c>
      <c r="B72" s="41" t="s">
        <v>46</v>
      </c>
      <c r="C72" s="64" t="s">
        <v>238</v>
      </c>
      <c r="D72" s="84" t="s">
        <v>250</v>
      </c>
      <c r="E72" s="66">
        <v>20500.0</v>
      </c>
      <c r="F72" s="71" t="s">
        <v>240</v>
      </c>
      <c r="G72" s="47" t="s">
        <v>75</v>
      </c>
      <c r="H72" s="46" t="str">
        <f t="shared" si="3"/>
        <v>06-06</v>
      </c>
      <c r="I72" s="47" t="s">
        <v>49</v>
      </c>
      <c r="J72" s="45"/>
      <c r="K72" s="48" t="s">
        <v>50</v>
      </c>
      <c r="L72" s="68" t="s">
        <v>57</v>
      </c>
      <c r="M72" s="50" t="s">
        <v>63</v>
      </c>
    </row>
    <row r="73" ht="27.0" customHeight="1">
      <c r="A73" s="51" t="s">
        <v>251</v>
      </c>
      <c r="B73" s="52" t="s">
        <v>46</v>
      </c>
      <c r="C73" s="53" t="s">
        <v>238</v>
      </c>
      <c r="D73" s="83" t="s">
        <v>252</v>
      </c>
      <c r="E73" s="55">
        <v>47600.0</v>
      </c>
      <c r="F73" s="69" t="s">
        <v>240</v>
      </c>
      <c r="G73" s="57" t="s">
        <v>75</v>
      </c>
      <c r="H73" s="58" t="str">
        <f t="shared" si="3"/>
        <v>06-07</v>
      </c>
      <c r="I73" s="57" t="s">
        <v>49</v>
      </c>
      <c r="J73" s="59"/>
      <c r="K73" s="60" t="s">
        <v>50</v>
      </c>
      <c r="L73" s="61" t="s">
        <v>57</v>
      </c>
      <c r="M73" s="62" t="s">
        <v>63</v>
      </c>
    </row>
    <row r="74" ht="27.0" customHeight="1">
      <c r="A74" s="40" t="s">
        <v>253</v>
      </c>
      <c r="B74" s="41" t="s">
        <v>46</v>
      </c>
      <c r="C74" s="42"/>
      <c r="D74" s="125" t="s">
        <v>254</v>
      </c>
      <c r="E74" s="44" t="s">
        <v>47</v>
      </c>
      <c r="F74" s="43" t="s">
        <v>37</v>
      </c>
      <c r="G74" s="45"/>
      <c r="H74" s="46" t="str">
        <f t="shared" si="3"/>
        <v>07-00</v>
      </c>
      <c r="I74" s="47" t="s">
        <v>49</v>
      </c>
      <c r="J74" s="45"/>
      <c r="K74" s="48" t="s">
        <v>50</v>
      </c>
      <c r="L74" s="49"/>
      <c r="M74" s="50" t="s">
        <v>63</v>
      </c>
    </row>
    <row r="75" ht="27.0" customHeight="1">
      <c r="A75" s="51" t="s">
        <v>255</v>
      </c>
      <c r="B75" s="52" t="s">
        <v>46</v>
      </c>
      <c r="C75" s="53" t="s">
        <v>256</v>
      </c>
      <c r="D75" s="83" t="s">
        <v>257</v>
      </c>
      <c r="E75" s="55">
        <v>37200.0</v>
      </c>
      <c r="F75" s="69" t="s">
        <v>258</v>
      </c>
      <c r="G75" s="59" t="s">
        <v>55</v>
      </c>
      <c r="H75" s="58" t="str">
        <f t="shared" si="3"/>
        <v>07-01</v>
      </c>
      <c r="I75" s="59" t="s">
        <v>56</v>
      </c>
      <c r="J75" s="59"/>
      <c r="K75" s="60" t="s">
        <v>50</v>
      </c>
      <c r="L75" s="61" t="s">
        <v>57</v>
      </c>
      <c r="M75" s="62" t="s">
        <v>63</v>
      </c>
    </row>
    <row r="76" ht="27.0" customHeight="1">
      <c r="A76" s="63" t="s">
        <v>259</v>
      </c>
      <c r="B76" s="41" t="s">
        <v>46</v>
      </c>
      <c r="C76" s="64" t="s">
        <v>256</v>
      </c>
      <c r="D76" s="84" t="s">
        <v>260</v>
      </c>
      <c r="E76" s="66">
        <v>47600.0</v>
      </c>
      <c r="F76" s="71" t="s">
        <v>258</v>
      </c>
      <c r="G76" s="45" t="s">
        <v>55</v>
      </c>
      <c r="H76" s="46" t="str">
        <f t="shared" si="3"/>
        <v>07-02</v>
      </c>
      <c r="I76" s="45" t="s">
        <v>56</v>
      </c>
      <c r="J76" s="45"/>
      <c r="K76" s="48" t="s">
        <v>50</v>
      </c>
      <c r="L76" s="68" t="s">
        <v>57</v>
      </c>
      <c r="M76" s="50" t="s">
        <v>63</v>
      </c>
    </row>
    <row r="77" ht="27.0" customHeight="1">
      <c r="A77" s="51" t="s">
        <v>261</v>
      </c>
      <c r="B77" s="52" t="s">
        <v>46</v>
      </c>
      <c r="C77" s="53" t="s">
        <v>256</v>
      </c>
      <c r="D77" s="83" t="s">
        <v>262</v>
      </c>
      <c r="E77" s="55">
        <v>37200.0</v>
      </c>
      <c r="F77" s="69" t="s">
        <v>258</v>
      </c>
      <c r="G77" s="59" t="s">
        <v>55</v>
      </c>
      <c r="H77" s="58" t="str">
        <f t="shared" si="3"/>
        <v>07-03</v>
      </c>
      <c r="I77" s="59" t="s">
        <v>56</v>
      </c>
      <c r="J77" s="59"/>
      <c r="K77" s="60" t="s">
        <v>50</v>
      </c>
      <c r="L77" s="61" t="s">
        <v>57</v>
      </c>
      <c r="M77" s="62" t="s">
        <v>63</v>
      </c>
    </row>
    <row r="78" ht="27.0" customHeight="1">
      <c r="A78" s="63" t="s">
        <v>263</v>
      </c>
      <c r="B78" s="41" t="s">
        <v>46</v>
      </c>
      <c r="C78" s="64" t="s">
        <v>256</v>
      </c>
      <c r="D78" s="84" t="s">
        <v>264</v>
      </c>
      <c r="E78" s="66">
        <v>47600.0</v>
      </c>
      <c r="F78" s="71" t="s">
        <v>258</v>
      </c>
      <c r="G78" s="45" t="s">
        <v>55</v>
      </c>
      <c r="H78" s="46" t="str">
        <f t="shared" si="3"/>
        <v>07-04</v>
      </c>
      <c r="I78" s="45" t="s">
        <v>56</v>
      </c>
      <c r="J78" s="45"/>
      <c r="K78" s="48" t="s">
        <v>50</v>
      </c>
      <c r="L78" s="68" t="s">
        <v>57</v>
      </c>
      <c r="M78" s="50" t="s">
        <v>63</v>
      </c>
    </row>
    <row r="79" ht="27.0" customHeight="1">
      <c r="A79" s="51" t="s">
        <v>265</v>
      </c>
      <c r="B79" s="52" t="s">
        <v>46</v>
      </c>
      <c r="C79" s="53" t="s">
        <v>256</v>
      </c>
      <c r="D79" s="83" t="s">
        <v>8</v>
      </c>
      <c r="E79" s="55">
        <v>51700.0</v>
      </c>
      <c r="F79" s="69" t="s">
        <v>258</v>
      </c>
      <c r="G79" s="59" t="s">
        <v>55</v>
      </c>
      <c r="H79" s="58" t="str">
        <f t="shared" si="3"/>
        <v>07-05</v>
      </c>
      <c r="I79" s="59" t="s">
        <v>56</v>
      </c>
      <c r="J79" s="59"/>
      <c r="K79" s="60" t="s">
        <v>50</v>
      </c>
      <c r="L79" s="61" t="s">
        <v>57</v>
      </c>
      <c r="M79" s="62" t="s">
        <v>63</v>
      </c>
    </row>
    <row r="80" ht="27.0" customHeight="1">
      <c r="A80" s="63" t="s">
        <v>266</v>
      </c>
      <c r="B80" s="41" t="s">
        <v>46</v>
      </c>
      <c r="C80" s="64" t="s">
        <v>256</v>
      </c>
      <c r="D80" s="84" t="s">
        <v>267</v>
      </c>
      <c r="E80" s="66">
        <v>53800.0</v>
      </c>
      <c r="F80" s="71" t="s">
        <v>258</v>
      </c>
      <c r="G80" s="45" t="s">
        <v>55</v>
      </c>
      <c r="H80" s="46" t="str">
        <f t="shared" si="3"/>
        <v>07-06</v>
      </c>
      <c r="I80" s="45" t="s">
        <v>56</v>
      </c>
      <c r="J80" s="45"/>
      <c r="K80" s="48" t="s">
        <v>50</v>
      </c>
      <c r="L80" s="68" t="s">
        <v>57</v>
      </c>
      <c r="M80" s="50" t="s">
        <v>63</v>
      </c>
    </row>
    <row r="81" ht="27.0" customHeight="1">
      <c r="A81" s="118" t="s">
        <v>268</v>
      </c>
      <c r="B81" s="52" t="s">
        <v>46</v>
      </c>
      <c r="C81" s="119"/>
      <c r="D81" s="125" t="s">
        <v>31</v>
      </c>
      <c r="E81" s="120" t="s">
        <v>47</v>
      </c>
      <c r="F81" s="121" t="s">
        <v>37</v>
      </c>
      <c r="G81" s="59"/>
      <c r="H81" s="58" t="str">
        <f t="shared" si="3"/>
        <v>08-00</v>
      </c>
      <c r="I81" s="59"/>
      <c r="J81" s="59"/>
      <c r="K81" s="60" t="s">
        <v>50</v>
      </c>
      <c r="L81" s="122"/>
      <c r="M81" s="62" t="s">
        <v>63</v>
      </c>
    </row>
    <row r="82" ht="27.0" customHeight="1">
      <c r="A82" s="63" t="s">
        <v>269</v>
      </c>
      <c r="B82" s="41" t="s">
        <v>46</v>
      </c>
      <c r="C82" s="64" t="s">
        <v>270</v>
      </c>
      <c r="D82" s="84" t="s">
        <v>271</v>
      </c>
      <c r="E82" s="66">
        <v>16500.0</v>
      </c>
      <c r="F82" s="67" t="s">
        <v>272</v>
      </c>
      <c r="G82" s="47" t="s">
        <v>75</v>
      </c>
      <c r="H82" s="46" t="str">
        <f t="shared" si="3"/>
        <v>08-01</v>
      </c>
      <c r="I82" s="45" t="s">
        <v>62</v>
      </c>
      <c r="J82" s="45"/>
      <c r="K82" s="67" t="s">
        <v>273</v>
      </c>
      <c r="L82" s="68" t="s">
        <v>57</v>
      </c>
      <c r="M82" s="50" t="s">
        <v>63</v>
      </c>
    </row>
    <row r="83" ht="27.0" customHeight="1">
      <c r="A83" s="51" t="s">
        <v>274</v>
      </c>
      <c r="B83" s="52" t="s">
        <v>46</v>
      </c>
      <c r="C83" s="53" t="s">
        <v>270</v>
      </c>
      <c r="D83" s="83" t="s">
        <v>275</v>
      </c>
      <c r="E83" s="55">
        <v>14400.0</v>
      </c>
      <c r="F83" s="56" t="s">
        <v>272</v>
      </c>
      <c r="G83" s="57" t="s">
        <v>75</v>
      </c>
      <c r="H83" s="58" t="str">
        <f t="shared" si="3"/>
        <v>08-02</v>
      </c>
      <c r="I83" s="59" t="s">
        <v>62</v>
      </c>
      <c r="J83" s="59"/>
      <c r="K83" s="56" t="s">
        <v>273</v>
      </c>
      <c r="L83" s="61" t="s">
        <v>57</v>
      </c>
      <c r="M83" s="62" t="s">
        <v>63</v>
      </c>
    </row>
    <row r="84" ht="27.0" customHeight="1">
      <c r="A84" s="63" t="s">
        <v>276</v>
      </c>
      <c r="B84" s="41" t="s">
        <v>46</v>
      </c>
      <c r="C84" s="64" t="s">
        <v>270</v>
      </c>
      <c r="D84" s="84" t="s">
        <v>32</v>
      </c>
      <c r="E84" s="66">
        <v>56500.0</v>
      </c>
      <c r="F84" s="67" t="s">
        <v>272</v>
      </c>
      <c r="G84" s="47" t="s">
        <v>75</v>
      </c>
      <c r="H84" s="46" t="str">
        <f t="shared" si="3"/>
        <v>08-03</v>
      </c>
      <c r="I84" s="45" t="s">
        <v>62</v>
      </c>
      <c r="J84" s="45"/>
      <c r="K84" s="67" t="s">
        <v>273</v>
      </c>
      <c r="L84" s="68" t="s">
        <v>57</v>
      </c>
      <c r="M84" s="50" t="s">
        <v>63</v>
      </c>
    </row>
    <row r="85" ht="27.0" customHeight="1">
      <c r="A85" s="118" t="s">
        <v>277</v>
      </c>
      <c r="B85" s="52" t="s">
        <v>46</v>
      </c>
      <c r="C85" s="119"/>
      <c r="D85" s="125" t="s">
        <v>278</v>
      </c>
      <c r="E85" s="120" t="s">
        <v>47</v>
      </c>
      <c r="F85" s="121" t="s">
        <v>37</v>
      </c>
      <c r="G85" s="59"/>
      <c r="H85" s="58" t="str">
        <f t="shared" si="3"/>
        <v>09-00</v>
      </c>
      <c r="I85" s="59"/>
      <c r="J85" s="59"/>
      <c r="K85" s="60" t="s">
        <v>50</v>
      </c>
      <c r="L85" s="122"/>
      <c r="M85" s="62" t="s">
        <v>63</v>
      </c>
    </row>
    <row r="86" ht="27.0" customHeight="1">
      <c r="A86" s="63" t="s">
        <v>279</v>
      </c>
      <c r="B86" s="41" t="s">
        <v>46</v>
      </c>
      <c r="C86" s="64" t="s">
        <v>280</v>
      </c>
      <c r="D86" s="84" t="s">
        <v>281</v>
      </c>
      <c r="E86" s="66">
        <v>6200.0</v>
      </c>
      <c r="F86" s="71"/>
      <c r="G86" s="47" t="s">
        <v>282</v>
      </c>
      <c r="H86" s="46" t="str">
        <f t="shared" si="3"/>
        <v>09-01</v>
      </c>
      <c r="I86" s="45" t="s">
        <v>124</v>
      </c>
      <c r="J86" s="45" t="s">
        <v>283</v>
      </c>
      <c r="K86" s="48" t="s">
        <v>50</v>
      </c>
      <c r="L86" s="68" t="s">
        <v>57</v>
      </c>
      <c r="M86" s="50" t="s">
        <v>63</v>
      </c>
    </row>
    <row r="87" ht="27.0" customHeight="1">
      <c r="A87" s="51" t="s">
        <v>284</v>
      </c>
      <c r="B87" s="52" t="s">
        <v>46</v>
      </c>
      <c r="C87" s="53" t="s">
        <v>280</v>
      </c>
      <c r="D87" s="83" t="s">
        <v>285</v>
      </c>
      <c r="E87" s="55">
        <v>8900.0</v>
      </c>
      <c r="F87" s="69"/>
      <c r="G87" s="57" t="s">
        <v>282</v>
      </c>
      <c r="H87" s="58" t="str">
        <f t="shared" si="3"/>
        <v>09-02</v>
      </c>
      <c r="I87" s="59" t="s">
        <v>124</v>
      </c>
      <c r="J87" s="59" t="s">
        <v>283</v>
      </c>
      <c r="K87" s="60" t="s">
        <v>50</v>
      </c>
      <c r="L87" s="61" t="s">
        <v>57</v>
      </c>
      <c r="M87" s="62" t="s">
        <v>63</v>
      </c>
    </row>
    <row r="88" ht="27.0" customHeight="1">
      <c r="A88" s="63" t="s">
        <v>286</v>
      </c>
      <c r="B88" s="41" t="s">
        <v>46</v>
      </c>
      <c r="C88" s="64" t="s">
        <v>280</v>
      </c>
      <c r="D88" s="84" t="s">
        <v>287</v>
      </c>
      <c r="E88" s="66">
        <v>11700.0</v>
      </c>
      <c r="F88" s="71"/>
      <c r="G88" s="47" t="s">
        <v>282</v>
      </c>
      <c r="H88" s="46" t="str">
        <f t="shared" si="3"/>
        <v>09-03</v>
      </c>
      <c r="I88" s="45" t="s">
        <v>124</v>
      </c>
      <c r="J88" s="45" t="s">
        <v>283</v>
      </c>
      <c r="K88" s="48" t="s">
        <v>50</v>
      </c>
      <c r="L88" s="68" t="s">
        <v>57</v>
      </c>
      <c r="M88" s="50" t="s">
        <v>63</v>
      </c>
    </row>
    <row r="89" ht="27.0" customHeight="1">
      <c r="A89" s="51" t="s">
        <v>288</v>
      </c>
      <c r="B89" s="52" t="s">
        <v>46</v>
      </c>
      <c r="C89" s="53" t="s">
        <v>280</v>
      </c>
      <c r="D89" s="83" t="s">
        <v>289</v>
      </c>
      <c r="E89" s="55">
        <v>19300.0</v>
      </c>
      <c r="F89" s="69"/>
      <c r="G89" s="57" t="s">
        <v>282</v>
      </c>
      <c r="H89" s="58" t="str">
        <f t="shared" si="3"/>
        <v>09-04</v>
      </c>
      <c r="I89" s="59" t="s">
        <v>124</v>
      </c>
      <c r="J89" s="59" t="s">
        <v>283</v>
      </c>
      <c r="K89" s="60" t="s">
        <v>50</v>
      </c>
      <c r="L89" s="61" t="s">
        <v>57</v>
      </c>
      <c r="M89" s="62" t="s">
        <v>63</v>
      </c>
    </row>
    <row r="90" ht="27.0" customHeight="1">
      <c r="A90" s="40" t="s">
        <v>290</v>
      </c>
      <c r="B90" s="41" t="s">
        <v>46</v>
      </c>
      <c r="C90" s="42"/>
      <c r="D90" s="125" t="s">
        <v>291</v>
      </c>
      <c r="E90" s="44" t="s">
        <v>47</v>
      </c>
      <c r="F90" s="43" t="s">
        <v>37</v>
      </c>
      <c r="G90" s="45"/>
      <c r="H90" s="46" t="str">
        <f t="shared" si="3"/>
        <v>10-00</v>
      </c>
      <c r="I90" s="45"/>
      <c r="J90" s="45"/>
      <c r="K90" s="48" t="s">
        <v>50</v>
      </c>
      <c r="L90" s="49"/>
      <c r="M90" s="50" t="s">
        <v>63</v>
      </c>
    </row>
    <row r="91" ht="27.0" customHeight="1">
      <c r="A91" s="51" t="s">
        <v>292</v>
      </c>
      <c r="B91" s="52" t="s">
        <v>46</v>
      </c>
      <c r="C91" s="53" t="s">
        <v>293</v>
      </c>
      <c r="D91" s="56" t="s">
        <v>294</v>
      </c>
      <c r="E91" s="55">
        <v>11700.0</v>
      </c>
      <c r="F91" s="69" t="s">
        <v>295</v>
      </c>
      <c r="G91" s="57" t="s">
        <v>75</v>
      </c>
      <c r="H91" s="58" t="str">
        <f t="shared" si="3"/>
        <v>10-01</v>
      </c>
      <c r="I91" s="59"/>
      <c r="J91" s="59"/>
      <c r="K91" s="60" t="s">
        <v>296</v>
      </c>
      <c r="L91" s="61" t="s">
        <v>57</v>
      </c>
      <c r="M91" s="62" t="s">
        <v>63</v>
      </c>
    </row>
    <row r="92" ht="27.0" customHeight="1">
      <c r="A92" s="63" t="s">
        <v>297</v>
      </c>
      <c r="B92" s="41" t="s">
        <v>46</v>
      </c>
      <c r="C92" s="64" t="s">
        <v>293</v>
      </c>
      <c r="D92" s="67" t="s">
        <v>298</v>
      </c>
      <c r="E92" s="66">
        <v>10300.0</v>
      </c>
      <c r="F92" s="71" t="s">
        <v>295</v>
      </c>
      <c r="G92" s="47" t="s">
        <v>75</v>
      </c>
      <c r="H92" s="46" t="str">
        <f t="shared" si="3"/>
        <v>10-02</v>
      </c>
      <c r="I92" s="45"/>
      <c r="J92" s="45"/>
      <c r="K92" s="48" t="s">
        <v>296</v>
      </c>
      <c r="L92" s="68" t="s">
        <v>57</v>
      </c>
      <c r="M92" s="50" t="s">
        <v>63</v>
      </c>
    </row>
    <row r="93" ht="27.0" customHeight="1">
      <c r="A93" s="51" t="s">
        <v>299</v>
      </c>
      <c r="B93" s="52" t="s">
        <v>46</v>
      </c>
      <c r="C93" s="53" t="s">
        <v>293</v>
      </c>
      <c r="D93" s="56" t="s">
        <v>300</v>
      </c>
      <c r="E93" s="55">
        <v>17600.0</v>
      </c>
      <c r="F93" s="69" t="s">
        <v>295</v>
      </c>
      <c r="G93" s="57" t="s">
        <v>75</v>
      </c>
      <c r="H93" s="58" t="str">
        <f t="shared" si="3"/>
        <v>10-03</v>
      </c>
      <c r="I93" s="59"/>
      <c r="J93" s="59"/>
      <c r="K93" s="60" t="s">
        <v>50</v>
      </c>
      <c r="L93" s="61" t="s">
        <v>57</v>
      </c>
      <c r="M93" s="62" t="s">
        <v>63</v>
      </c>
    </row>
    <row r="94" ht="27.0" customHeight="1">
      <c r="A94" s="63" t="s">
        <v>301</v>
      </c>
      <c r="B94" s="41" t="s">
        <v>46</v>
      </c>
      <c r="C94" s="64" t="s">
        <v>293</v>
      </c>
      <c r="D94" s="67" t="s">
        <v>302</v>
      </c>
      <c r="E94" s="66">
        <v>11700.0</v>
      </c>
      <c r="F94" s="71" t="s">
        <v>295</v>
      </c>
      <c r="G94" s="47" t="s">
        <v>75</v>
      </c>
      <c r="H94" s="46" t="str">
        <f t="shared" si="3"/>
        <v>10-04</v>
      </c>
      <c r="I94" s="45"/>
      <c r="J94" s="45"/>
      <c r="K94" s="48" t="s">
        <v>296</v>
      </c>
      <c r="L94" s="68" t="s">
        <v>57</v>
      </c>
      <c r="M94" s="50" t="s">
        <v>63</v>
      </c>
    </row>
    <row r="95" ht="27.0" customHeight="1">
      <c r="A95" s="51" t="s">
        <v>303</v>
      </c>
      <c r="B95" s="52" t="s">
        <v>46</v>
      </c>
      <c r="C95" s="53" t="s">
        <v>293</v>
      </c>
      <c r="D95" s="56" t="s">
        <v>305</v>
      </c>
      <c r="E95" s="55">
        <v>10300.0</v>
      </c>
      <c r="F95" s="69" t="s">
        <v>295</v>
      </c>
      <c r="G95" s="57" t="s">
        <v>75</v>
      </c>
      <c r="H95" s="58" t="str">
        <f t="shared" si="3"/>
        <v>10-05</v>
      </c>
      <c r="I95" s="59"/>
      <c r="J95" s="59"/>
      <c r="K95" s="60" t="s">
        <v>296</v>
      </c>
      <c r="L95" s="61" t="s">
        <v>57</v>
      </c>
      <c r="M95" s="62" t="s">
        <v>63</v>
      </c>
    </row>
    <row r="96" ht="27.0" customHeight="1">
      <c r="A96" s="63" t="s">
        <v>306</v>
      </c>
      <c r="B96" s="41" t="s">
        <v>46</v>
      </c>
      <c r="C96" s="64" t="s">
        <v>293</v>
      </c>
      <c r="D96" s="67" t="s">
        <v>307</v>
      </c>
      <c r="E96" s="66">
        <v>17600.0</v>
      </c>
      <c r="F96" s="71" t="s">
        <v>295</v>
      </c>
      <c r="G96" s="47" t="s">
        <v>75</v>
      </c>
      <c r="H96" s="46" t="str">
        <f t="shared" si="3"/>
        <v>10-06</v>
      </c>
      <c r="I96" s="45"/>
      <c r="J96" s="45"/>
      <c r="K96" s="48" t="s">
        <v>296</v>
      </c>
      <c r="L96" s="68" t="s">
        <v>57</v>
      </c>
      <c r="M96" s="50" t="s">
        <v>63</v>
      </c>
    </row>
    <row r="97" ht="27.0" customHeight="1">
      <c r="A97" s="51" t="s">
        <v>308</v>
      </c>
      <c r="B97" s="52" t="s">
        <v>46</v>
      </c>
      <c r="C97" s="53" t="s">
        <v>293</v>
      </c>
      <c r="D97" s="56" t="s">
        <v>309</v>
      </c>
      <c r="E97" s="55">
        <v>15300.0</v>
      </c>
      <c r="F97" s="69" t="s">
        <v>295</v>
      </c>
      <c r="G97" s="57" t="s">
        <v>75</v>
      </c>
      <c r="H97" s="58" t="str">
        <f t="shared" si="3"/>
        <v>10-07</v>
      </c>
      <c r="I97" s="59"/>
      <c r="J97" s="59"/>
      <c r="K97" s="60" t="s">
        <v>296</v>
      </c>
      <c r="L97" s="61" t="s">
        <v>57</v>
      </c>
      <c r="M97" s="62" t="s">
        <v>63</v>
      </c>
    </row>
    <row r="98" ht="27.0" customHeight="1">
      <c r="A98" s="63" t="s">
        <v>310</v>
      </c>
      <c r="B98" s="41" t="s">
        <v>46</v>
      </c>
      <c r="C98" s="64" t="s">
        <v>293</v>
      </c>
      <c r="D98" s="67" t="s">
        <v>311</v>
      </c>
      <c r="E98" s="66">
        <v>31100.0</v>
      </c>
      <c r="F98" s="71" t="s">
        <v>295</v>
      </c>
      <c r="G98" s="47" t="s">
        <v>75</v>
      </c>
      <c r="H98" s="46" t="str">
        <f t="shared" si="3"/>
        <v>10-08</v>
      </c>
      <c r="I98" s="45"/>
      <c r="J98" s="45"/>
      <c r="K98" s="48" t="s">
        <v>296</v>
      </c>
      <c r="L98" s="68" t="s">
        <v>57</v>
      </c>
      <c r="M98" s="50" t="s">
        <v>63</v>
      </c>
    </row>
    <row r="99" ht="27.0" customHeight="1">
      <c r="A99" s="51" t="s">
        <v>313</v>
      </c>
      <c r="B99" s="52" t="s">
        <v>46</v>
      </c>
      <c r="C99" s="53" t="s">
        <v>293</v>
      </c>
      <c r="D99" s="56" t="s">
        <v>314</v>
      </c>
      <c r="E99" s="55">
        <v>20500.0</v>
      </c>
      <c r="F99" s="69" t="s">
        <v>295</v>
      </c>
      <c r="G99" s="57" t="s">
        <v>75</v>
      </c>
      <c r="H99" s="58" t="str">
        <f t="shared" si="3"/>
        <v>10-09</v>
      </c>
      <c r="I99" s="59"/>
      <c r="J99" s="59"/>
      <c r="K99" s="60" t="s">
        <v>296</v>
      </c>
      <c r="L99" s="61" t="s">
        <v>57</v>
      </c>
      <c r="M99" s="62" t="s">
        <v>63</v>
      </c>
    </row>
    <row r="100" ht="27.0" customHeight="1">
      <c r="A100" s="63" t="s">
        <v>316</v>
      </c>
      <c r="B100" s="41" t="s">
        <v>46</v>
      </c>
      <c r="C100" s="64" t="s">
        <v>293</v>
      </c>
      <c r="D100" s="67" t="s">
        <v>317</v>
      </c>
      <c r="E100" s="66">
        <v>14600.0</v>
      </c>
      <c r="F100" s="71" t="s">
        <v>295</v>
      </c>
      <c r="G100" s="47" t="s">
        <v>75</v>
      </c>
      <c r="H100" s="46" t="str">
        <f t="shared" si="3"/>
        <v>10-10</v>
      </c>
      <c r="I100" s="45"/>
      <c r="J100" s="45"/>
      <c r="K100" s="48" t="s">
        <v>296</v>
      </c>
      <c r="L100" s="68" t="s">
        <v>57</v>
      </c>
      <c r="M100" s="50" t="s">
        <v>63</v>
      </c>
    </row>
    <row r="101" ht="27.0" customHeight="1">
      <c r="A101" s="51" t="s">
        <v>318</v>
      </c>
      <c r="B101" s="52" t="s">
        <v>46</v>
      </c>
      <c r="C101" s="53" t="s">
        <v>293</v>
      </c>
      <c r="D101" s="56" t="s">
        <v>319</v>
      </c>
      <c r="E101" s="55">
        <v>17600.0</v>
      </c>
      <c r="F101" s="69" t="s">
        <v>295</v>
      </c>
      <c r="G101" s="57" t="s">
        <v>75</v>
      </c>
      <c r="H101" s="58" t="str">
        <f t="shared" si="3"/>
        <v>10-11</v>
      </c>
      <c r="I101" s="59"/>
      <c r="J101" s="59"/>
      <c r="K101" s="60" t="s">
        <v>296</v>
      </c>
      <c r="L101" s="61" t="s">
        <v>57</v>
      </c>
      <c r="M101" s="62" t="s">
        <v>63</v>
      </c>
    </row>
    <row r="102" ht="27.0" customHeight="1">
      <c r="A102" s="63" t="s">
        <v>321</v>
      </c>
      <c r="B102" s="41" t="s">
        <v>46</v>
      </c>
      <c r="C102" s="64" t="s">
        <v>293</v>
      </c>
      <c r="D102" s="67" t="s">
        <v>322</v>
      </c>
      <c r="E102" s="66">
        <v>20600.0</v>
      </c>
      <c r="F102" s="71" t="s">
        <v>295</v>
      </c>
      <c r="G102" s="47" t="s">
        <v>75</v>
      </c>
      <c r="H102" s="46" t="str">
        <f t="shared" si="3"/>
        <v>10-12</v>
      </c>
      <c r="I102" s="45"/>
      <c r="J102" s="45"/>
      <c r="K102" s="48" t="s">
        <v>324</v>
      </c>
      <c r="L102" s="68" t="s">
        <v>57</v>
      </c>
      <c r="M102" s="50" t="s">
        <v>63</v>
      </c>
    </row>
    <row r="103" ht="27.0" customHeight="1">
      <c r="A103" s="51" t="s">
        <v>325</v>
      </c>
      <c r="B103" s="52" t="s">
        <v>46</v>
      </c>
      <c r="C103" s="53" t="s">
        <v>293</v>
      </c>
      <c r="D103" s="56" t="s">
        <v>326</v>
      </c>
      <c r="E103" s="55">
        <v>17900.0</v>
      </c>
      <c r="F103" s="69" t="s">
        <v>295</v>
      </c>
      <c r="G103" s="57" t="s">
        <v>75</v>
      </c>
      <c r="H103" s="58" t="str">
        <f t="shared" si="3"/>
        <v>10-13</v>
      </c>
      <c r="I103" s="59"/>
      <c r="J103" s="59"/>
      <c r="K103" s="60" t="s">
        <v>50</v>
      </c>
      <c r="L103" s="61" t="s">
        <v>57</v>
      </c>
      <c r="M103" s="62" t="s">
        <v>63</v>
      </c>
    </row>
    <row r="104" ht="27.0" customHeight="1">
      <c r="A104" s="63" t="s">
        <v>329</v>
      </c>
      <c r="B104" s="41" t="s">
        <v>46</v>
      </c>
      <c r="C104" s="64" t="s">
        <v>293</v>
      </c>
      <c r="D104" s="67" t="s">
        <v>330</v>
      </c>
      <c r="E104" s="66">
        <v>41300.0</v>
      </c>
      <c r="F104" s="71" t="s">
        <v>295</v>
      </c>
      <c r="G104" s="47" t="s">
        <v>75</v>
      </c>
      <c r="H104" s="46" t="str">
        <f t="shared" si="3"/>
        <v>10-14</v>
      </c>
      <c r="I104" s="45"/>
      <c r="J104" s="45"/>
      <c r="K104" s="48" t="s">
        <v>50</v>
      </c>
      <c r="L104" s="68" t="s">
        <v>57</v>
      </c>
      <c r="M104" s="50" t="s">
        <v>63</v>
      </c>
    </row>
    <row r="105" ht="27.0" customHeight="1">
      <c r="A105" s="118" t="s">
        <v>332</v>
      </c>
      <c r="B105" s="52" t="s">
        <v>46</v>
      </c>
      <c r="C105" s="119"/>
      <c r="D105" s="125" t="s">
        <v>333</v>
      </c>
      <c r="E105" s="120" t="s">
        <v>47</v>
      </c>
      <c r="F105" s="121" t="s">
        <v>37</v>
      </c>
      <c r="G105" s="59"/>
      <c r="H105" s="58" t="str">
        <f t="shared" si="3"/>
        <v>11-00</v>
      </c>
      <c r="I105" s="59"/>
      <c r="J105" s="59"/>
      <c r="K105" s="60" t="s">
        <v>50</v>
      </c>
      <c r="L105" s="122"/>
      <c r="M105" s="62" t="s">
        <v>63</v>
      </c>
    </row>
    <row r="106" ht="27.0" customHeight="1">
      <c r="A106" s="63" t="s">
        <v>334</v>
      </c>
      <c r="B106" s="41" t="s">
        <v>46</v>
      </c>
      <c r="C106" s="64" t="s">
        <v>335</v>
      </c>
      <c r="D106" s="84" t="s">
        <v>336</v>
      </c>
      <c r="E106" s="66">
        <v>27900.0</v>
      </c>
      <c r="F106" s="71" t="s">
        <v>337</v>
      </c>
      <c r="G106" s="47" t="s">
        <v>75</v>
      </c>
      <c r="H106" s="46" t="str">
        <f t="shared" si="3"/>
        <v>11-01</v>
      </c>
      <c r="I106" s="45"/>
      <c r="J106" s="45"/>
      <c r="K106" s="48" t="s">
        <v>50</v>
      </c>
      <c r="L106" s="68" t="s">
        <v>57</v>
      </c>
      <c r="M106" s="50" t="s">
        <v>63</v>
      </c>
    </row>
    <row r="107" ht="27.0" customHeight="1">
      <c r="A107" s="51" t="s">
        <v>338</v>
      </c>
      <c r="B107" s="52" t="s">
        <v>46</v>
      </c>
      <c r="C107" s="53" t="s">
        <v>335</v>
      </c>
      <c r="D107" s="83" t="s">
        <v>339</v>
      </c>
      <c r="E107" s="55">
        <v>86500.0</v>
      </c>
      <c r="F107" s="69" t="s">
        <v>337</v>
      </c>
      <c r="G107" s="57" t="s">
        <v>75</v>
      </c>
      <c r="H107" s="58" t="str">
        <f t="shared" si="3"/>
        <v>11-02</v>
      </c>
      <c r="I107" s="59"/>
      <c r="J107" s="59"/>
      <c r="K107" s="60" t="s">
        <v>50</v>
      </c>
      <c r="L107" s="61" t="s">
        <v>57</v>
      </c>
      <c r="M107" s="62" t="s">
        <v>63</v>
      </c>
    </row>
    <row r="108" ht="27.0" customHeight="1">
      <c r="A108" s="63" t="s">
        <v>340</v>
      </c>
      <c r="B108" s="41" t="s">
        <v>46</v>
      </c>
      <c r="C108" s="64" t="s">
        <v>335</v>
      </c>
      <c r="D108" s="84" t="s">
        <v>341</v>
      </c>
      <c r="E108" s="66">
        <v>86500.0</v>
      </c>
      <c r="F108" s="71" t="s">
        <v>337</v>
      </c>
      <c r="G108" s="47" t="s">
        <v>75</v>
      </c>
      <c r="H108" s="46" t="str">
        <f t="shared" si="3"/>
        <v>11-03</v>
      </c>
      <c r="I108" s="45"/>
      <c r="J108" s="45"/>
      <c r="K108" s="48" t="s">
        <v>50</v>
      </c>
      <c r="L108" s="68" t="s">
        <v>57</v>
      </c>
      <c r="M108" s="50" t="s">
        <v>63</v>
      </c>
    </row>
    <row r="109" ht="27.0" customHeight="1">
      <c r="A109" s="51" t="s">
        <v>342</v>
      </c>
      <c r="B109" s="52" t="s">
        <v>46</v>
      </c>
      <c r="C109" s="53" t="s">
        <v>335</v>
      </c>
      <c r="D109" s="83" t="s">
        <v>343</v>
      </c>
      <c r="E109" s="55">
        <v>31000.0</v>
      </c>
      <c r="F109" s="69" t="s">
        <v>337</v>
      </c>
      <c r="G109" s="57" t="s">
        <v>75</v>
      </c>
      <c r="H109" s="58" t="str">
        <f t="shared" si="3"/>
        <v>11-04</v>
      </c>
      <c r="I109" s="59"/>
      <c r="J109" s="59"/>
      <c r="K109" s="60" t="s">
        <v>50</v>
      </c>
      <c r="L109" s="61" t="s">
        <v>57</v>
      </c>
      <c r="M109" s="62" t="s">
        <v>63</v>
      </c>
    </row>
    <row r="110" ht="27.0" customHeight="1">
      <c r="A110" s="63" t="s">
        <v>344</v>
      </c>
      <c r="B110" s="41" t="s">
        <v>46</v>
      </c>
      <c r="C110" s="64" t="s">
        <v>335</v>
      </c>
      <c r="D110" s="84" t="s">
        <v>345</v>
      </c>
      <c r="E110" s="66">
        <v>31000.0</v>
      </c>
      <c r="F110" s="71" t="s">
        <v>337</v>
      </c>
      <c r="G110" s="47" t="s">
        <v>75</v>
      </c>
      <c r="H110" s="46" t="str">
        <f t="shared" si="3"/>
        <v>11-05</v>
      </c>
      <c r="I110" s="45"/>
      <c r="J110" s="45"/>
      <c r="K110" s="48" t="s">
        <v>50</v>
      </c>
      <c r="L110" s="68" t="s">
        <v>57</v>
      </c>
      <c r="M110" s="50" t="s">
        <v>63</v>
      </c>
    </row>
    <row r="111" ht="27.0" customHeight="1">
      <c r="A111" s="51" t="s">
        <v>346</v>
      </c>
      <c r="B111" s="52" t="s">
        <v>46</v>
      </c>
      <c r="C111" s="53" t="s">
        <v>335</v>
      </c>
      <c r="D111" s="83" t="s">
        <v>347</v>
      </c>
      <c r="E111" s="55">
        <v>13400.0</v>
      </c>
      <c r="F111" s="69" t="s">
        <v>337</v>
      </c>
      <c r="G111" s="57" t="s">
        <v>75</v>
      </c>
      <c r="H111" s="58" t="str">
        <f t="shared" si="3"/>
        <v>11-06</v>
      </c>
      <c r="I111" s="59"/>
      <c r="J111" s="59"/>
      <c r="K111" s="60" t="s">
        <v>50</v>
      </c>
      <c r="L111" s="61" t="s">
        <v>57</v>
      </c>
      <c r="M111" s="62" t="s">
        <v>63</v>
      </c>
    </row>
    <row r="112" ht="27.0" customHeight="1">
      <c r="A112" s="63" t="s">
        <v>348</v>
      </c>
      <c r="B112" s="41" t="s">
        <v>46</v>
      </c>
      <c r="C112" s="64" t="s">
        <v>335</v>
      </c>
      <c r="D112" s="84" t="s">
        <v>349</v>
      </c>
      <c r="E112" s="66">
        <v>72400.0</v>
      </c>
      <c r="F112" s="71" t="s">
        <v>337</v>
      </c>
      <c r="G112" s="47" t="s">
        <v>75</v>
      </c>
      <c r="H112" s="46" t="str">
        <f t="shared" si="3"/>
        <v>11-07</v>
      </c>
      <c r="I112" s="45"/>
      <c r="J112" s="45"/>
      <c r="K112" s="48" t="s">
        <v>50</v>
      </c>
      <c r="L112" s="68" t="s">
        <v>57</v>
      </c>
      <c r="M112" s="50" t="s">
        <v>63</v>
      </c>
    </row>
    <row r="113" ht="27.0" customHeight="1">
      <c r="A113" s="51" t="s">
        <v>350</v>
      </c>
      <c r="B113" s="52" t="s">
        <v>46</v>
      </c>
      <c r="C113" s="53" t="s">
        <v>335</v>
      </c>
      <c r="D113" s="83" t="s">
        <v>351</v>
      </c>
      <c r="E113" s="55">
        <v>31000.0</v>
      </c>
      <c r="F113" s="69" t="s">
        <v>337</v>
      </c>
      <c r="G113" s="57" t="s">
        <v>75</v>
      </c>
      <c r="H113" s="58" t="str">
        <f t="shared" si="3"/>
        <v>11-08</v>
      </c>
      <c r="I113" s="59"/>
      <c r="J113" s="59"/>
      <c r="K113" s="60" t="s">
        <v>50</v>
      </c>
      <c r="L113" s="61" t="s">
        <v>57</v>
      </c>
      <c r="M113" s="62" t="s">
        <v>63</v>
      </c>
    </row>
    <row r="114" ht="27.0" customHeight="1">
      <c r="A114" s="63" t="s">
        <v>352</v>
      </c>
      <c r="B114" s="41" t="s">
        <v>46</v>
      </c>
      <c r="C114" s="64" t="s">
        <v>335</v>
      </c>
      <c r="D114" s="84" t="s">
        <v>353</v>
      </c>
      <c r="E114" s="66">
        <v>46500.0</v>
      </c>
      <c r="F114" s="71" t="s">
        <v>337</v>
      </c>
      <c r="G114" s="47" t="s">
        <v>75</v>
      </c>
      <c r="H114" s="46" t="str">
        <f t="shared" si="3"/>
        <v>11-09</v>
      </c>
      <c r="I114" s="45"/>
      <c r="J114" s="45"/>
      <c r="K114" s="48" t="s">
        <v>50</v>
      </c>
      <c r="L114" s="68" t="s">
        <v>57</v>
      </c>
      <c r="M114" s="50" t="s">
        <v>63</v>
      </c>
    </row>
    <row r="115" ht="27.0" customHeight="1">
      <c r="A115" s="51" t="s">
        <v>354</v>
      </c>
      <c r="B115" s="52" t="s">
        <v>46</v>
      </c>
      <c r="C115" s="53" t="s">
        <v>335</v>
      </c>
      <c r="D115" s="83" t="s">
        <v>355</v>
      </c>
      <c r="E115" s="55">
        <v>27900.0</v>
      </c>
      <c r="F115" s="69" t="s">
        <v>337</v>
      </c>
      <c r="G115" s="57" t="s">
        <v>75</v>
      </c>
      <c r="H115" s="58" t="str">
        <f t="shared" si="3"/>
        <v>11-10</v>
      </c>
      <c r="I115" s="59"/>
      <c r="J115" s="59"/>
      <c r="K115" s="60" t="s">
        <v>50</v>
      </c>
      <c r="L115" s="61" t="s">
        <v>57</v>
      </c>
      <c r="M115" s="62" t="s">
        <v>63</v>
      </c>
    </row>
    <row r="116" ht="27.0" customHeight="1">
      <c r="A116" s="63" t="s">
        <v>356</v>
      </c>
      <c r="B116" s="41" t="s">
        <v>46</v>
      </c>
      <c r="C116" s="64" t="s">
        <v>335</v>
      </c>
      <c r="D116" s="84" t="s">
        <v>357</v>
      </c>
      <c r="E116" s="66">
        <v>47500.0</v>
      </c>
      <c r="F116" s="71" t="s">
        <v>337</v>
      </c>
      <c r="G116" s="47" t="s">
        <v>75</v>
      </c>
      <c r="H116" s="46" t="str">
        <f t="shared" si="3"/>
        <v>11-11</v>
      </c>
      <c r="I116" s="45"/>
      <c r="J116" s="45"/>
      <c r="K116" s="48" t="s">
        <v>50</v>
      </c>
      <c r="L116" s="68" t="s">
        <v>57</v>
      </c>
      <c r="M116" s="50" t="s">
        <v>63</v>
      </c>
    </row>
    <row r="117" ht="27.0" customHeight="1">
      <c r="A117" s="51" t="s">
        <v>358</v>
      </c>
      <c r="B117" s="52" t="s">
        <v>46</v>
      </c>
      <c r="C117" s="53" t="s">
        <v>335</v>
      </c>
      <c r="D117" s="83" t="s">
        <v>359</v>
      </c>
      <c r="E117" s="55">
        <v>27900.0</v>
      </c>
      <c r="F117" s="69" t="s">
        <v>337</v>
      </c>
      <c r="G117" s="57" t="s">
        <v>75</v>
      </c>
      <c r="H117" s="58" t="str">
        <f t="shared" si="3"/>
        <v>11-12</v>
      </c>
      <c r="I117" s="59"/>
      <c r="J117" s="59"/>
      <c r="K117" s="60" t="s">
        <v>50</v>
      </c>
      <c r="L117" s="61" t="s">
        <v>57</v>
      </c>
      <c r="M117" s="62" t="s">
        <v>63</v>
      </c>
    </row>
    <row r="118" ht="27.0" customHeight="1">
      <c r="A118" s="63" t="s">
        <v>360</v>
      </c>
      <c r="B118" s="41" t="s">
        <v>46</v>
      </c>
      <c r="C118" s="64" t="s">
        <v>335</v>
      </c>
      <c r="D118" s="84" t="s">
        <v>361</v>
      </c>
      <c r="E118" s="66">
        <v>51700.0</v>
      </c>
      <c r="F118" s="71" t="s">
        <v>337</v>
      </c>
      <c r="G118" s="47" t="s">
        <v>75</v>
      </c>
      <c r="H118" s="46" t="str">
        <f t="shared" si="3"/>
        <v>11-13</v>
      </c>
      <c r="I118" s="45"/>
      <c r="J118" s="45"/>
      <c r="K118" s="48" t="s">
        <v>50</v>
      </c>
      <c r="L118" s="68" t="s">
        <v>57</v>
      </c>
      <c r="M118" s="50" t="s">
        <v>63</v>
      </c>
    </row>
    <row r="119" ht="27.0" customHeight="1">
      <c r="A119" s="51" t="s">
        <v>362</v>
      </c>
      <c r="B119" s="52" t="s">
        <v>46</v>
      </c>
      <c r="C119" s="53" t="s">
        <v>335</v>
      </c>
      <c r="D119" s="83" t="s">
        <v>363</v>
      </c>
      <c r="E119" s="55">
        <v>56900.0</v>
      </c>
      <c r="F119" s="69" t="s">
        <v>337</v>
      </c>
      <c r="G119" s="57" t="s">
        <v>75</v>
      </c>
      <c r="H119" s="58" t="str">
        <f t="shared" si="3"/>
        <v>11-14</v>
      </c>
      <c r="I119" s="59"/>
      <c r="J119" s="59"/>
      <c r="K119" s="60" t="s">
        <v>50</v>
      </c>
      <c r="L119" s="61" t="s">
        <v>57</v>
      </c>
      <c r="M119" s="62" t="s">
        <v>63</v>
      </c>
    </row>
    <row r="120" ht="27.0" customHeight="1">
      <c r="A120" s="63" t="s">
        <v>364</v>
      </c>
      <c r="B120" s="41" t="s">
        <v>46</v>
      </c>
      <c r="C120" s="64" t="s">
        <v>335</v>
      </c>
      <c r="D120" s="84" t="s">
        <v>365</v>
      </c>
      <c r="E120" s="66">
        <v>27900.0</v>
      </c>
      <c r="F120" s="71" t="s">
        <v>337</v>
      </c>
      <c r="G120" s="47" t="s">
        <v>75</v>
      </c>
      <c r="H120" s="46" t="str">
        <f t="shared" si="3"/>
        <v>11-15</v>
      </c>
      <c r="I120" s="45"/>
      <c r="J120" s="45"/>
      <c r="K120" s="48" t="s">
        <v>50</v>
      </c>
      <c r="L120" s="68" t="s">
        <v>57</v>
      </c>
      <c r="M120" s="50" t="s">
        <v>63</v>
      </c>
    </row>
    <row r="121" ht="27.0" customHeight="1">
      <c r="A121" s="51" t="s">
        <v>366</v>
      </c>
      <c r="B121" s="52" t="s">
        <v>46</v>
      </c>
      <c r="C121" s="53" t="s">
        <v>335</v>
      </c>
      <c r="D121" s="83" t="s">
        <v>367</v>
      </c>
      <c r="E121" s="55">
        <v>41600.0</v>
      </c>
      <c r="F121" s="69" t="s">
        <v>337</v>
      </c>
      <c r="G121" s="57" t="s">
        <v>75</v>
      </c>
      <c r="H121" s="58" t="str">
        <f t="shared" si="3"/>
        <v>11-16</v>
      </c>
      <c r="I121" s="59"/>
      <c r="J121" s="59"/>
      <c r="K121" s="60" t="s">
        <v>50</v>
      </c>
      <c r="L121" s="61" t="s">
        <v>57</v>
      </c>
      <c r="M121" s="62" t="s">
        <v>63</v>
      </c>
    </row>
    <row r="122" ht="27.0" customHeight="1">
      <c r="A122" s="63" t="s">
        <v>368</v>
      </c>
      <c r="B122" s="41" t="s">
        <v>46</v>
      </c>
      <c r="C122" s="64" t="s">
        <v>335</v>
      </c>
      <c r="D122" s="84" t="s">
        <v>369</v>
      </c>
      <c r="E122" s="66">
        <v>98300.0</v>
      </c>
      <c r="F122" s="71" t="s">
        <v>337</v>
      </c>
      <c r="G122" s="47" t="s">
        <v>75</v>
      </c>
      <c r="H122" s="46" t="str">
        <f t="shared" si="3"/>
        <v>11-17</v>
      </c>
      <c r="I122" s="45"/>
      <c r="J122" s="45"/>
      <c r="K122" s="48" t="s">
        <v>50</v>
      </c>
      <c r="L122" s="68" t="s">
        <v>57</v>
      </c>
      <c r="M122" s="50" t="s">
        <v>63</v>
      </c>
    </row>
    <row r="123" ht="27.0" customHeight="1">
      <c r="A123" s="51" t="s">
        <v>370</v>
      </c>
      <c r="B123" s="52" t="s">
        <v>46</v>
      </c>
      <c r="C123" s="148" t="s">
        <v>371</v>
      </c>
      <c r="D123" s="149" t="s">
        <v>372</v>
      </c>
      <c r="E123" s="150">
        <v>27900.0</v>
      </c>
      <c r="F123" s="151"/>
      <c r="G123" s="59" t="s">
        <v>55</v>
      </c>
      <c r="H123" s="58" t="str">
        <f t="shared" si="3"/>
        <v>12-00</v>
      </c>
      <c r="I123" s="59"/>
      <c r="J123" s="59"/>
      <c r="K123" s="60" t="s">
        <v>50</v>
      </c>
      <c r="L123" s="61" t="s">
        <v>57</v>
      </c>
      <c r="M123" s="62" t="s">
        <v>63</v>
      </c>
    </row>
    <row r="124" ht="27.0" customHeight="1">
      <c r="A124" s="40" t="s">
        <v>370</v>
      </c>
      <c r="B124" s="41" t="s">
        <v>46</v>
      </c>
      <c r="C124" s="42"/>
      <c r="D124" s="125" t="s">
        <v>373</v>
      </c>
      <c r="E124" s="44" t="s">
        <v>47</v>
      </c>
      <c r="F124" s="43" t="s">
        <v>37</v>
      </c>
      <c r="G124" s="45"/>
      <c r="H124" s="46" t="str">
        <f t="shared" si="3"/>
        <v>12-00</v>
      </c>
      <c r="I124" s="45"/>
      <c r="J124" s="45"/>
      <c r="K124" s="48" t="s">
        <v>50</v>
      </c>
      <c r="L124" s="49"/>
      <c r="M124" s="50" t="s">
        <v>63</v>
      </c>
    </row>
    <row r="125" ht="27.0" customHeight="1">
      <c r="A125" s="51" t="s">
        <v>374</v>
      </c>
      <c r="B125" s="52" t="s">
        <v>46</v>
      </c>
      <c r="C125" s="53" t="s">
        <v>371</v>
      </c>
      <c r="D125" s="52" t="s">
        <v>375</v>
      </c>
      <c r="E125" s="55">
        <v>27900.0</v>
      </c>
      <c r="F125" s="151"/>
      <c r="G125" s="59" t="s">
        <v>55</v>
      </c>
      <c r="H125" s="58" t="str">
        <f t="shared" si="3"/>
        <v>12-01</v>
      </c>
      <c r="I125" s="59"/>
      <c r="J125" s="59"/>
      <c r="K125" s="60" t="s">
        <v>50</v>
      </c>
      <c r="L125" s="61" t="s">
        <v>57</v>
      </c>
      <c r="M125" s="62" t="s">
        <v>63</v>
      </c>
    </row>
    <row r="126" ht="27.0" customHeight="1">
      <c r="A126" s="63" t="s">
        <v>376</v>
      </c>
      <c r="B126" s="41" t="s">
        <v>46</v>
      </c>
      <c r="C126" s="64" t="s">
        <v>371</v>
      </c>
      <c r="D126" s="41" t="s">
        <v>377</v>
      </c>
      <c r="E126" s="66">
        <v>31000.0</v>
      </c>
      <c r="F126" s="152"/>
      <c r="G126" s="45" t="s">
        <v>55</v>
      </c>
      <c r="H126" s="46" t="str">
        <f t="shared" si="3"/>
        <v>12-02</v>
      </c>
      <c r="I126" s="45"/>
      <c r="J126" s="45"/>
      <c r="K126" s="48" t="s">
        <v>50</v>
      </c>
      <c r="L126" s="68" t="s">
        <v>57</v>
      </c>
      <c r="M126" s="50" t="s">
        <v>63</v>
      </c>
    </row>
    <row r="127" ht="27.0" customHeight="1">
      <c r="A127" s="51" t="s">
        <v>378</v>
      </c>
      <c r="B127" s="52" t="s">
        <v>46</v>
      </c>
      <c r="C127" s="53" t="s">
        <v>371</v>
      </c>
      <c r="D127" s="52" t="s">
        <v>379</v>
      </c>
      <c r="E127" s="55">
        <v>31000.0</v>
      </c>
      <c r="F127" s="151"/>
      <c r="G127" s="59" t="s">
        <v>55</v>
      </c>
      <c r="H127" s="58" t="str">
        <f t="shared" si="3"/>
        <v>12-03</v>
      </c>
      <c r="I127" s="59"/>
      <c r="J127" s="59"/>
      <c r="K127" s="60" t="s">
        <v>50</v>
      </c>
      <c r="L127" s="61" t="s">
        <v>57</v>
      </c>
      <c r="M127" s="62" t="s">
        <v>63</v>
      </c>
    </row>
    <row r="128" ht="27.0" customHeight="1">
      <c r="A128" s="63" t="s">
        <v>380</v>
      </c>
      <c r="B128" s="41" t="s">
        <v>46</v>
      </c>
      <c r="C128" s="64" t="s">
        <v>371</v>
      </c>
      <c r="D128" s="41" t="s">
        <v>381</v>
      </c>
      <c r="E128" s="66">
        <v>87900.0</v>
      </c>
      <c r="F128" s="71" t="s">
        <v>382</v>
      </c>
      <c r="G128" s="45" t="s">
        <v>55</v>
      </c>
      <c r="H128" s="46" t="str">
        <f t="shared" si="3"/>
        <v>12-04</v>
      </c>
      <c r="I128" s="45"/>
      <c r="J128" s="45"/>
      <c r="K128" s="48" t="s">
        <v>50</v>
      </c>
      <c r="L128" s="68" t="s">
        <v>57</v>
      </c>
      <c r="M128" s="50" t="s">
        <v>63</v>
      </c>
    </row>
    <row r="129" ht="27.0" customHeight="1">
      <c r="A129" s="51" t="s">
        <v>383</v>
      </c>
      <c r="B129" s="52" t="s">
        <v>46</v>
      </c>
      <c r="C129" s="53" t="s">
        <v>371</v>
      </c>
      <c r="D129" s="52" t="s">
        <v>384</v>
      </c>
      <c r="E129" s="55">
        <v>123000.0</v>
      </c>
      <c r="F129" s="69" t="s">
        <v>382</v>
      </c>
      <c r="G129" s="59" t="s">
        <v>55</v>
      </c>
      <c r="H129" s="58" t="str">
        <f t="shared" si="3"/>
        <v>12-05</v>
      </c>
      <c r="I129" s="59"/>
      <c r="J129" s="59"/>
      <c r="K129" s="60" t="s">
        <v>50</v>
      </c>
      <c r="L129" s="61" t="s">
        <v>57</v>
      </c>
      <c r="M129" s="62" t="s">
        <v>63</v>
      </c>
    </row>
    <row r="130" ht="27.0" customHeight="1">
      <c r="A130" s="63" t="s">
        <v>385</v>
      </c>
      <c r="B130" s="41" t="s">
        <v>46</v>
      </c>
      <c r="C130" s="64" t="s">
        <v>371</v>
      </c>
      <c r="D130" s="84" t="s">
        <v>386</v>
      </c>
      <c r="E130" s="66">
        <v>87900.0</v>
      </c>
      <c r="F130" s="71" t="s">
        <v>387</v>
      </c>
      <c r="G130" s="45" t="s">
        <v>55</v>
      </c>
      <c r="H130" s="46" t="str">
        <f t="shared" si="3"/>
        <v>12-06</v>
      </c>
      <c r="I130" s="45"/>
      <c r="J130" s="45"/>
      <c r="K130" s="48" t="s">
        <v>50</v>
      </c>
      <c r="L130" s="68" t="s">
        <v>57</v>
      </c>
      <c r="M130" s="50" t="s">
        <v>63</v>
      </c>
    </row>
    <row r="131" ht="27.0" customHeight="1">
      <c r="A131" s="51" t="s">
        <v>388</v>
      </c>
      <c r="B131" s="52" t="s">
        <v>46</v>
      </c>
      <c r="C131" s="53" t="s">
        <v>371</v>
      </c>
      <c r="D131" s="83" t="s">
        <v>389</v>
      </c>
      <c r="E131" s="55">
        <v>123000.0</v>
      </c>
      <c r="F131" s="69" t="s">
        <v>387</v>
      </c>
      <c r="G131" s="59" t="s">
        <v>55</v>
      </c>
      <c r="H131" s="58" t="str">
        <f t="shared" si="3"/>
        <v>12-07</v>
      </c>
      <c r="I131" s="59"/>
      <c r="J131" s="59"/>
      <c r="K131" s="60" t="s">
        <v>50</v>
      </c>
      <c r="L131" s="61" t="s">
        <v>57</v>
      </c>
      <c r="M131" s="62" t="s">
        <v>63</v>
      </c>
    </row>
    <row r="132" ht="27.0" customHeight="1">
      <c r="A132" s="63" t="s">
        <v>390</v>
      </c>
      <c r="B132" s="41" t="s">
        <v>46</v>
      </c>
      <c r="C132" s="64" t="s">
        <v>371</v>
      </c>
      <c r="D132" s="84" t="s">
        <v>391</v>
      </c>
      <c r="E132" s="66">
        <v>87900.0</v>
      </c>
      <c r="F132" s="67" t="s">
        <v>392</v>
      </c>
      <c r="G132" s="45" t="s">
        <v>55</v>
      </c>
      <c r="H132" s="46" t="str">
        <f t="shared" si="3"/>
        <v>12-08</v>
      </c>
      <c r="I132" s="45"/>
      <c r="J132" s="45"/>
      <c r="K132" s="48" t="s">
        <v>50</v>
      </c>
      <c r="L132" s="68" t="s">
        <v>57</v>
      </c>
      <c r="M132" s="50" t="s">
        <v>63</v>
      </c>
    </row>
    <row r="133" ht="27.0" customHeight="1">
      <c r="A133" s="51" t="s">
        <v>393</v>
      </c>
      <c r="B133" s="52" t="s">
        <v>46</v>
      </c>
      <c r="C133" s="53" t="s">
        <v>371</v>
      </c>
      <c r="D133" s="83" t="s">
        <v>394</v>
      </c>
      <c r="E133" s="55">
        <v>98300.0</v>
      </c>
      <c r="F133" s="56" t="s">
        <v>392</v>
      </c>
      <c r="G133" s="59" t="s">
        <v>55</v>
      </c>
      <c r="H133" s="58" t="str">
        <f t="shared" si="3"/>
        <v>12-09</v>
      </c>
      <c r="I133" s="59"/>
      <c r="J133" s="59"/>
      <c r="K133" s="60" t="s">
        <v>50</v>
      </c>
      <c r="L133" s="61" t="s">
        <v>57</v>
      </c>
      <c r="M133" s="62" t="s">
        <v>63</v>
      </c>
    </row>
    <row r="134" ht="27.0" customHeight="1">
      <c r="A134" s="63" t="s">
        <v>395</v>
      </c>
      <c r="B134" s="41" t="s">
        <v>46</v>
      </c>
      <c r="C134" s="64" t="s">
        <v>371</v>
      </c>
      <c r="D134" s="84" t="s">
        <v>396</v>
      </c>
      <c r="E134" s="66">
        <v>155200.0</v>
      </c>
      <c r="F134" s="67" t="s">
        <v>397</v>
      </c>
      <c r="G134" s="45" t="s">
        <v>55</v>
      </c>
      <c r="H134" s="46" t="str">
        <f t="shared" si="3"/>
        <v>12-10</v>
      </c>
      <c r="I134" s="45"/>
      <c r="J134" s="45"/>
      <c r="K134" s="48" t="s">
        <v>50</v>
      </c>
      <c r="L134" s="68" t="s">
        <v>57</v>
      </c>
      <c r="M134" s="50" t="s">
        <v>63</v>
      </c>
    </row>
    <row r="135" ht="27.0" customHeight="1">
      <c r="A135" s="51" t="s">
        <v>398</v>
      </c>
      <c r="B135" s="52" t="s">
        <v>46</v>
      </c>
      <c r="C135" s="53" t="s">
        <v>371</v>
      </c>
      <c r="D135" s="83" t="s">
        <v>399</v>
      </c>
      <c r="E135" s="55">
        <v>289700.0</v>
      </c>
      <c r="F135" s="69" t="s">
        <v>400</v>
      </c>
      <c r="G135" s="59" t="s">
        <v>55</v>
      </c>
      <c r="H135" s="58" t="str">
        <f t="shared" si="3"/>
        <v>12-11</v>
      </c>
      <c r="I135" s="59"/>
      <c r="J135" s="59"/>
      <c r="K135" s="60" t="s">
        <v>50</v>
      </c>
      <c r="L135" s="61" t="s">
        <v>57</v>
      </c>
      <c r="M135" s="62" t="s">
        <v>63</v>
      </c>
    </row>
    <row r="136" ht="27.0" customHeight="1">
      <c r="A136" s="63" t="s">
        <v>401</v>
      </c>
      <c r="B136" s="41" t="s">
        <v>46</v>
      </c>
      <c r="C136" s="64" t="s">
        <v>371</v>
      </c>
      <c r="D136" s="84" t="s">
        <v>402</v>
      </c>
      <c r="E136" s="66">
        <v>175900.0</v>
      </c>
      <c r="F136" s="71" t="s">
        <v>400</v>
      </c>
      <c r="G136" s="45" t="s">
        <v>55</v>
      </c>
      <c r="H136" s="46" t="str">
        <f t="shared" si="3"/>
        <v>12-12</v>
      </c>
      <c r="I136" s="45"/>
      <c r="J136" s="45"/>
      <c r="K136" s="48" t="s">
        <v>50</v>
      </c>
      <c r="L136" s="68" t="s">
        <v>57</v>
      </c>
      <c r="M136" s="50" t="s">
        <v>63</v>
      </c>
    </row>
    <row r="137" ht="27.0" customHeight="1">
      <c r="A137" s="51" t="s">
        <v>403</v>
      </c>
      <c r="B137" s="52" t="s">
        <v>46</v>
      </c>
      <c r="C137" s="53" t="s">
        <v>371</v>
      </c>
      <c r="D137" s="83" t="s">
        <v>404</v>
      </c>
      <c r="E137" s="55">
        <v>155200.0</v>
      </c>
      <c r="F137" s="69" t="s">
        <v>400</v>
      </c>
      <c r="G137" s="59" t="s">
        <v>55</v>
      </c>
      <c r="H137" s="58" t="str">
        <f t="shared" si="3"/>
        <v>12-13</v>
      </c>
      <c r="I137" s="59"/>
      <c r="J137" s="59"/>
      <c r="K137" s="60" t="s">
        <v>50</v>
      </c>
      <c r="L137" s="61" t="s">
        <v>57</v>
      </c>
      <c r="M137" s="62" t="s">
        <v>63</v>
      </c>
    </row>
    <row r="138" ht="27.0" customHeight="1">
      <c r="A138" s="63" t="s">
        <v>405</v>
      </c>
      <c r="B138" s="41" t="s">
        <v>46</v>
      </c>
      <c r="C138" s="64" t="s">
        <v>371</v>
      </c>
      <c r="D138" s="84" t="s">
        <v>406</v>
      </c>
      <c r="E138" s="66">
        <v>119000.0</v>
      </c>
      <c r="F138" s="67" t="s">
        <v>407</v>
      </c>
      <c r="G138" s="45" t="s">
        <v>55</v>
      </c>
      <c r="H138" s="46" t="str">
        <f t="shared" si="3"/>
        <v>12-14</v>
      </c>
      <c r="I138" s="45"/>
      <c r="J138" s="45"/>
      <c r="K138" s="48" t="s">
        <v>50</v>
      </c>
      <c r="L138" s="68" t="s">
        <v>57</v>
      </c>
      <c r="M138" s="50" t="s">
        <v>63</v>
      </c>
    </row>
    <row r="139" ht="27.0" customHeight="1">
      <c r="A139" s="51" t="s">
        <v>408</v>
      </c>
      <c r="B139" s="52" t="s">
        <v>46</v>
      </c>
      <c r="C139" s="53" t="s">
        <v>371</v>
      </c>
      <c r="D139" s="83" t="s">
        <v>409</v>
      </c>
      <c r="E139" s="55">
        <v>51700.0</v>
      </c>
      <c r="F139" s="151"/>
      <c r="G139" s="59" t="s">
        <v>55</v>
      </c>
      <c r="H139" s="58" t="str">
        <f t="shared" si="3"/>
        <v>12-15</v>
      </c>
      <c r="I139" s="59"/>
      <c r="J139" s="59"/>
      <c r="K139" s="60" t="s">
        <v>50</v>
      </c>
      <c r="L139" s="61" t="s">
        <v>57</v>
      </c>
      <c r="M139" s="62" t="s">
        <v>63</v>
      </c>
    </row>
    <row r="140" ht="27.0" customHeight="1">
      <c r="A140" s="63" t="s">
        <v>410</v>
      </c>
      <c r="B140" s="41" t="s">
        <v>46</v>
      </c>
      <c r="C140" s="64" t="s">
        <v>371</v>
      </c>
      <c r="D140" s="84" t="s">
        <v>411</v>
      </c>
      <c r="E140" s="66">
        <v>76500.0</v>
      </c>
      <c r="F140" s="152"/>
      <c r="G140" s="45" t="s">
        <v>55</v>
      </c>
      <c r="H140" s="46" t="str">
        <f t="shared" si="3"/>
        <v>12-16</v>
      </c>
      <c r="I140" s="45"/>
      <c r="J140" s="45"/>
      <c r="K140" s="48" t="s">
        <v>50</v>
      </c>
      <c r="L140" s="68" t="s">
        <v>57</v>
      </c>
      <c r="M140" s="50" t="s">
        <v>63</v>
      </c>
    </row>
    <row r="141" ht="27.0" customHeight="1">
      <c r="A141" s="86" t="s">
        <v>412</v>
      </c>
      <c r="B141" s="52" t="s">
        <v>46</v>
      </c>
      <c r="C141" s="53" t="s">
        <v>371</v>
      </c>
      <c r="D141" s="74" t="s">
        <v>413</v>
      </c>
      <c r="E141" s="55">
        <v>993400.0</v>
      </c>
      <c r="F141" s="56" t="s">
        <v>414</v>
      </c>
      <c r="G141" s="59" t="s">
        <v>55</v>
      </c>
      <c r="H141" s="58" t="str">
        <f t="shared" si="3"/>
        <v>12-17</v>
      </c>
      <c r="I141" s="59"/>
      <c r="J141" s="59"/>
      <c r="K141" s="60" t="s">
        <v>50</v>
      </c>
      <c r="L141" s="61" t="s">
        <v>57</v>
      </c>
      <c r="M141" s="62" t="s">
        <v>63</v>
      </c>
    </row>
    <row r="142" ht="27.0" customHeight="1">
      <c r="A142" s="40" t="s">
        <v>415</v>
      </c>
      <c r="B142" s="41" t="s">
        <v>46</v>
      </c>
      <c r="C142" s="42"/>
      <c r="D142" s="125" t="s">
        <v>416</v>
      </c>
      <c r="E142" s="44" t="s">
        <v>47</v>
      </c>
      <c r="F142" s="43" t="s">
        <v>37</v>
      </c>
      <c r="G142" s="45"/>
      <c r="H142" s="46" t="str">
        <f t="shared" si="3"/>
        <v>13-00</v>
      </c>
      <c r="I142" s="45"/>
      <c r="J142" s="45"/>
      <c r="K142" s="48" t="s">
        <v>50</v>
      </c>
      <c r="L142" s="49"/>
      <c r="M142" s="50" t="s">
        <v>63</v>
      </c>
    </row>
    <row r="143" ht="27.0" customHeight="1">
      <c r="A143" s="51" t="s">
        <v>417</v>
      </c>
      <c r="B143" s="52" t="s">
        <v>46</v>
      </c>
      <c r="C143" s="53" t="s">
        <v>418</v>
      </c>
      <c r="D143" s="83" t="s">
        <v>419</v>
      </c>
      <c r="E143" s="55">
        <v>98300.0</v>
      </c>
      <c r="F143" s="69" t="s">
        <v>420</v>
      </c>
      <c r="G143" s="59" t="s">
        <v>55</v>
      </c>
      <c r="H143" s="58" t="str">
        <f t="shared" si="3"/>
        <v>13-01</v>
      </c>
      <c r="I143" s="59"/>
      <c r="J143" s="59"/>
      <c r="K143" s="60" t="s">
        <v>50</v>
      </c>
      <c r="L143" s="61" t="s">
        <v>57</v>
      </c>
      <c r="M143" s="62" t="s">
        <v>63</v>
      </c>
    </row>
    <row r="144" ht="27.0" customHeight="1">
      <c r="A144" s="63" t="s">
        <v>421</v>
      </c>
      <c r="B144" s="41" t="s">
        <v>46</v>
      </c>
      <c r="C144" s="64" t="s">
        <v>418</v>
      </c>
      <c r="D144" s="84" t="s">
        <v>422</v>
      </c>
      <c r="E144" s="66">
        <v>139700.0</v>
      </c>
      <c r="F144" s="71" t="s">
        <v>420</v>
      </c>
      <c r="G144" s="45" t="s">
        <v>55</v>
      </c>
      <c r="H144" s="46" t="str">
        <f t="shared" si="3"/>
        <v>13-02</v>
      </c>
      <c r="I144" s="45"/>
      <c r="J144" s="45"/>
      <c r="K144" s="48" t="s">
        <v>50</v>
      </c>
      <c r="L144" s="68" t="s">
        <v>57</v>
      </c>
      <c r="M144" s="50" t="s">
        <v>63</v>
      </c>
    </row>
    <row r="145" ht="27.0" customHeight="1">
      <c r="A145" s="51" t="s">
        <v>423</v>
      </c>
      <c r="B145" s="52" t="s">
        <v>46</v>
      </c>
      <c r="C145" s="53" t="s">
        <v>418</v>
      </c>
      <c r="D145" s="83" t="s">
        <v>424</v>
      </c>
      <c r="E145" s="55">
        <v>181100.0</v>
      </c>
      <c r="F145" s="69" t="s">
        <v>420</v>
      </c>
      <c r="G145" s="59" t="s">
        <v>55</v>
      </c>
      <c r="H145" s="58" t="str">
        <f t="shared" si="3"/>
        <v>13-03</v>
      </c>
      <c r="I145" s="59"/>
      <c r="J145" s="59"/>
      <c r="K145" s="60" t="s">
        <v>50</v>
      </c>
      <c r="L145" s="61" t="s">
        <v>57</v>
      </c>
      <c r="M145" s="62" t="s">
        <v>63</v>
      </c>
    </row>
    <row r="146" ht="27.0" customHeight="1">
      <c r="A146" s="63" t="s">
        <v>425</v>
      </c>
      <c r="B146" s="41" t="s">
        <v>46</v>
      </c>
      <c r="C146" s="64" t="s">
        <v>418</v>
      </c>
      <c r="D146" s="84" t="s">
        <v>426</v>
      </c>
      <c r="E146" s="66">
        <v>222500.0</v>
      </c>
      <c r="F146" s="71" t="s">
        <v>420</v>
      </c>
      <c r="G146" s="45" t="s">
        <v>55</v>
      </c>
      <c r="H146" s="46" t="str">
        <f t="shared" si="3"/>
        <v>13-04</v>
      </c>
      <c r="I146" s="45"/>
      <c r="J146" s="45"/>
      <c r="K146" s="48" t="s">
        <v>50</v>
      </c>
      <c r="L146" s="68" t="s">
        <v>57</v>
      </c>
      <c r="M146" s="50" t="s">
        <v>63</v>
      </c>
    </row>
    <row r="147" ht="27.0" customHeight="1">
      <c r="A147" s="128" t="s">
        <v>427</v>
      </c>
      <c r="B147" s="52" t="s">
        <v>46</v>
      </c>
      <c r="C147" s="53" t="s">
        <v>418</v>
      </c>
      <c r="D147" s="52" t="s">
        <v>428</v>
      </c>
      <c r="E147" s="55">
        <v>263800.0</v>
      </c>
      <c r="F147" s="69" t="s">
        <v>420</v>
      </c>
      <c r="G147" s="59" t="s">
        <v>55</v>
      </c>
      <c r="H147" s="58"/>
      <c r="I147" s="59"/>
      <c r="J147" s="59"/>
      <c r="K147" s="60"/>
      <c r="L147" s="61"/>
      <c r="M147" s="62"/>
    </row>
    <row r="148" ht="27.0" hidden="1" customHeight="1">
      <c r="A148" s="63" t="s">
        <v>427</v>
      </c>
      <c r="B148" s="41" t="s">
        <v>46</v>
      </c>
      <c r="C148" s="64" t="s">
        <v>418</v>
      </c>
      <c r="D148" s="84" t="s">
        <v>428</v>
      </c>
      <c r="E148" s="66">
        <v>221600.0</v>
      </c>
      <c r="F148" s="71" t="s">
        <v>420</v>
      </c>
      <c r="G148" s="45" t="s">
        <v>55</v>
      </c>
      <c r="H148" s="46" t="str">
        <f t="shared" ref="H148:H323" si="4">A148</f>
        <v>13-05</v>
      </c>
      <c r="I148" s="45"/>
      <c r="J148" s="45"/>
      <c r="K148" s="48" t="s">
        <v>50</v>
      </c>
      <c r="L148" s="68" t="s">
        <v>57</v>
      </c>
      <c r="M148" s="50" t="s">
        <v>63</v>
      </c>
    </row>
    <row r="149" ht="27.0" customHeight="1">
      <c r="A149" s="51" t="s">
        <v>429</v>
      </c>
      <c r="B149" s="52" t="s">
        <v>46</v>
      </c>
      <c r="C149" s="53" t="s">
        <v>418</v>
      </c>
      <c r="D149" s="83" t="s">
        <v>430</v>
      </c>
      <c r="E149" s="55">
        <v>1034800.0</v>
      </c>
      <c r="F149" s="56" t="s">
        <v>431</v>
      </c>
      <c r="G149" s="59" t="s">
        <v>55</v>
      </c>
      <c r="H149" s="58" t="str">
        <f t="shared" si="4"/>
        <v>13-06</v>
      </c>
      <c r="I149" s="59"/>
      <c r="J149" s="59"/>
      <c r="K149" s="60" t="s">
        <v>50</v>
      </c>
      <c r="L149" s="61" t="s">
        <v>57</v>
      </c>
      <c r="M149" s="62" t="s">
        <v>63</v>
      </c>
    </row>
    <row r="150" ht="27.0" customHeight="1">
      <c r="A150" s="63" t="s">
        <v>432</v>
      </c>
      <c r="B150" s="41" t="s">
        <v>46</v>
      </c>
      <c r="C150" s="64" t="s">
        <v>418</v>
      </c>
      <c r="D150" s="84" t="s">
        <v>433</v>
      </c>
      <c r="E150" s="66">
        <v>344900.0</v>
      </c>
      <c r="F150" s="67" t="s">
        <v>434</v>
      </c>
      <c r="G150" s="45" t="s">
        <v>55</v>
      </c>
      <c r="H150" s="46" t="str">
        <f t="shared" si="4"/>
        <v>13-07</v>
      </c>
      <c r="I150" s="45"/>
      <c r="J150" s="45"/>
      <c r="K150" s="48" t="s">
        <v>50</v>
      </c>
      <c r="L150" s="68" t="s">
        <v>57</v>
      </c>
      <c r="M150" s="50" t="s">
        <v>63</v>
      </c>
    </row>
    <row r="151" ht="27.0" customHeight="1">
      <c r="A151" s="51" t="s">
        <v>435</v>
      </c>
      <c r="B151" s="52" t="s">
        <v>46</v>
      </c>
      <c r="C151" s="53" t="s">
        <v>418</v>
      </c>
      <c r="D151" s="83" t="s">
        <v>436</v>
      </c>
      <c r="E151" s="55">
        <v>362200.0</v>
      </c>
      <c r="F151" s="56" t="s">
        <v>437</v>
      </c>
      <c r="G151" s="59" t="s">
        <v>55</v>
      </c>
      <c r="H151" s="58" t="str">
        <f t="shared" si="4"/>
        <v>13-08</v>
      </c>
      <c r="I151" s="59"/>
      <c r="J151" s="59"/>
      <c r="K151" s="60" t="s">
        <v>50</v>
      </c>
      <c r="L151" s="61" t="s">
        <v>57</v>
      </c>
      <c r="M151" s="62" t="s">
        <v>63</v>
      </c>
    </row>
    <row r="152" ht="27.0" customHeight="1">
      <c r="A152" s="63" t="s">
        <v>438</v>
      </c>
      <c r="B152" s="41" t="s">
        <v>46</v>
      </c>
      <c r="C152" s="64" t="s">
        <v>418</v>
      </c>
      <c r="D152" s="84" t="s">
        <v>439</v>
      </c>
      <c r="E152" s="66">
        <v>331100.0</v>
      </c>
      <c r="F152" s="71" t="s">
        <v>440</v>
      </c>
      <c r="G152" s="45" t="s">
        <v>55</v>
      </c>
      <c r="H152" s="46" t="str">
        <f t="shared" si="4"/>
        <v>13-09</v>
      </c>
      <c r="I152" s="45"/>
      <c r="J152" s="45"/>
      <c r="K152" s="48" t="s">
        <v>50</v>
      </c>
      <c r="L152" s="68" t="s">
        <v>57</v>
      </c>
      <c r="M152" s="50" t="s">
        <v>63</v>
      </c>
    </row>
    <row r="153" ht="27.0" customHeight="1">
      <c r="A153" s="51" t="s">
        <v>441</v>
      </c>
      <c r="B153" s="52" t="s">
        <v>46</v>
      </c>
      <c r="C153" s="53" t="s">
        <v>418</v>
      </c>
      <c r="D153" s="83" t="s">
        <v>442</v>
      </c>
      <c r="E153" s="55">
        <v>484600.0</v>
      </c>
      <c r="F153" s="69" t="s">
        <v>440</v>
      </c>
      <c r="G153" s="59" t="s">
        <v>55</v>
      </c>
      <c r="H153" s="58" t="str">
        <f t="shared" si="4"/>
        <v>13-10</v>
      </c>
      <c r="I153" s="59"/>
      <c r="J153" s="59"/>
      <c r="K153" s="60" t="s">
        <v>50</v>
      </c>
      <c r="L153" s="61" t="s">
        <v>57</v>
      </c>
      <c r="M153" s="62" t="s">
        <v>63</v>
      </c>
    </row>
    <row r="154" ht="27.0" customHeight="1">
      <c r="A154" s="63" t="s">
        <v>443</v>
      </c>
      <c r="B154" s="41" t="s">
        <v>46</v>
      </c>
      <c r="C154" s="64" t="s">
        <v>418</v>
      </c>
      <c r="D154" s="84" t="s">
        <v>444</v>
      </c>
      <c r="E154" s="66">
        <v>1240000.0</v>
      </c>
      <c r="F154" s="71" t="s">
        <v>440</v>
      </c>
      <c r="G154" s="45" t="s">
        <v>55</v>
      </c>
      <c r="H154" s="46" t="str">
        <f t="shared" si="4"/>
        <v>13-11</v>
      </c>
      <c r="I154" s="45"/>
      <c r="J154" s="45"/>
      <c r="K154" s="48" t="s">
        <v>50</v>
      </c>
      <c r="L154" s="68" t="s">
        <v>57</v>
      </c>
      <c r="M154" s="50" t="s">
        <v>63</v>
      </c>
    </row>
    <row r="155" ht="27.0" customHeight="1">
      <c r="A155" s="51" t="s">
        <v>445</v>
      </c>
      <c r="B155" s="52" t="s">
        <v>46</v>
      </c>
      <c r="C155" s="53" t="s">
        <v>418</v>
      </c>
      <c r="D155" s="83" t="s">
        <v>446</v>
      </c>
      <c r="E155" s="80">
        <v>0.0</v>
      </c>
      <c r="F155" s="69" t="s">
        <v>447</v>
      </c>
      <c r="G155" s="59" t="s">
        <v>55</v>
      </c>
      <c r="H155" s="58" t="str">
        <f t="shared" si="4"/>
        <v>13-12</v>
      </c>
      <c r="I155" s="59"/>
      <c r="J155" s="59"/>
      <c r="K155" s="60" t="s">
        <v>50</v>
      </c>
      <c r="L155" s="61" t="s">
        <v>57</v>
      </c>
      <c r="M155" s="62" t="s">
        <v>63</v>
      </c>
    </row>
    <row r="156" ht="27.0" customHeight="1">
      <c r="A156" s="63" t="s">
        <v>448</v>
      </c>
      <c r="B156" s="41" t="s">
        <v>46</v>
      </c>
      <c r="C156" s="64" t="s">
        <v>418</v>
      </c>
      <c r="D156" s="84" t="s">
        <v>449</v>
      </c>
      <c r="E156" s="153">
        <v>0.0</v>
      </c>
      <c r="F156" s="71" t="s">
        <v>447</v>
      </c>
      <c r="G156" s="45" t="s">
        <v>55</v>
      </c>
      <c r="H156" s="46" t="str">
        <f t="shared" si="4"/>
        <v>13-13</v>
      </c>
      <c r="I156" s="45"/>
      <c r="J156" s="45"/>
      <c r="K156" s="48" t="s">
        <v>50</v>
      </c>
      <c r="L156" s="68" t="s">
        <v>57</v>
      </c>
      <c r="M156" s="50" t="s">
        <v>63</v>
      </c>
    </row>
    <row r="157" ht="27.0" customHeight="1">
      <c r="A157" s="51" t="s">
        <v>450</v>
      </c>
      <c r="B157" s="52" t="s">
        <v>46</v>
      </c>
      <c r="C157" s="53" t="s">
        <v>418</v>
      </c>
      <c r="D157" s="83" t="s">
        <v>451</v>
      </c>
      <c r="E157" s="80">
        <v>0.0</v>
      </c>
      <c r="F157" s="69" t="s">
        <v>447</v>
      </c>
      <c r="G157" s="59" t="s">
        <v>55</v>
      </c>
      <c r="H157" s="58" t="str">
        <f t="shared" si="4"/>
        <v>13-14</v>
      </c>
      <c r="I157" s="59"/>
      <c r="J157" s="59"/>
      <c r="K157" s="60" t="s">
        <v>50</v>
      </c>
      <c r="L157" s="61" t="s">
        <v>57</v>
      </c>
      <c r="M157" s="62" t="s">
        <v>63</v>
      </c>
    </row>
    <row r="158" ht="27.0" customHeight="1">
      <c r="A158" s="40" t="s">
        <v>452</v>
      </c>
      <c r="B158" s="41" t="s">
        <v>46</v>
      </c>
      <c r="C158" s="42"/>
      <c r="D158" s="125" t="s">
        <v>453</v>
      </c>
      <c r="E158" s="44" t="s">
        <v>47</v>
      </c>
      <c r="F158" s="43" t="s">
        <v>37</v>
      </c>
      <c r="G158" s="45"/>
      <c r="H158" s="46" t="str">
        <f t="shared" si="4"/>
        <v>14-00</v>
      </c>
      <c r="I158" s="45"/>
      <c r="J158" s="45"/>
      <c r="K158" s="48" t="s">
        <v>50</v>
      </c>
      <c r="L158" s="49"/>
      <c r="M158" s="50" t="s">
        <v>63</v>
      </c>
    </row>
    <row r="159" ht="27.0" customHeight="1">
      <c r="A159" s="51" t="s">
        <v>454</v>
      </c>
      <c r="B159" s="52" t="s">
        <v>46</v>
      </c>
      <c r="C159" s="53" t="s">
        <v>455</v>
      </c>
      <c r="D159" s="83" t="s">
        <v>456</v>
      </c>
      <c r="E159" s="55">
        <v>76700.0</v>
      </c>
      <c r="F159" s="69" t="s">
        <v>457</v>
      </c>
      <c r="G159" s="59" t="s">
        <v>55</v>
      </c>
      <c r="H159" s="58" t="str">
        <f t="shared" si="4"/>
        <v>14-01</v>
      </c>
      <c r="I159" s="59"/>
      <c r="J159" s="59"/>
      <c r="K159" s="60" t="s">
        <v>50</v>
      </c>
      <c r="L159" s="61" t="s">
        <v>57</v>
      </c>
      <c r="M159" s="62" t="s">
        <v>63</v>
      </c>
    </row>
    <row r="160" ht="24.75" customHeight="1">
      <c r="A160" s="63" t="s">
        <v>458</v>
      </c>
      <c r="B160" s="41" t="s">
        <v>46</v>
      </c>
      <c r="C160" s="64" t="s">
        <v>455</v>
      </c>
      <c r="D160" s="84" t="s">
        <v>459</v>
      </c>
      <c r="E160" s="66">
        <v>98600.0</v>
      </c>
      <c r="F160" s="71" t="s">
        <v>457</v>
      </c>
      <c r="G160" s="45" t="s">
        <v>55</v>
      </c>
      <c r="H160" s="46" t="str">
        <f t="shared" si="4"/>
        <v>14-02</v>
      </c>
      <c r="I160" s="45"/>
      <c r="J160" s="45"/>
      <c r="K160" s="48" t="s">
        <v>50</v>
      </c>
      <c r="L160" s="68" t="s">
        <v>57</v>
      </c>
      <c r="M160" s="50" t="s">
        <v>63</v>
      </c>
    </row>
    <row r="161" ht="24.75" customHeight="1">
      <c r="A161" s="51" t="s">
        <v>460</v>
      </c>
      <c r="B161" s="52" t="s">
        <v>46</v>
      </c>
      <c r="C161" s="53" t="s">
        <v>455</v>
      </c>
      <c r="D161" s="83" t="s">
        <v>461</v>
      </c>
      <c r="E161" s="55">
        <v>120600.0</v>
      </c>
      <c r="F161" s="69" t="s">
        <v>457</v>
      </c>
      <c r="G161" s="59" t="s">
        <v>55</v>
      </c>
      <c r="H161" s="58" t="str">
        <f t="shared" si="4"/>
        <v>14-03</v>
      </c>
      <c r="I161" s="59"/>
      <c r="J161" s="59"/>
      <c r="K161" s="60" t="s">
        <v>50</v>
      </c>
      <c r="L161" s="61" t="s">
        <v>57</v>
      </c>
      <c r="M161" s="62" t="s">
        <v>63</v>
      </c>
    </row>
    <row r="162" ht="24.75" customHeight="1">
      <c r="A162" s="63" t="s">
        <v>462</v>
      </c>
      <c r="B162" s="41" t="s">
        <v>46</v>
      </c>
      <c r="C162" s="64" t="s">
        <v>455</v>
      </c>
      <c r="D162" s="84" t="s">
        <v>463</v>
      </c>
      <c r="E162" s="66">
        <v>27400.0</v>
      </c>
      <c r="F162" s="71" t="s">
        <v>457</v>
      </c>
      <c r="G162" s="45" t="s">
        <v>55</v>
      </c>
      <c r="H162" s="46" t="str">
        <f t="shared" si="4"/>
        <v>14-04</v>
      </c>
      <c r="I162" s="45"/>
      <c r="J162" s="45"/>
      <c r="K162" s="48" t="s">
        <v>50</v>
      </c>
      <c r="L162" s="68" t="s">
        <v>57</v>
      </c>
      <c r="M162" s="50" t="s">
        <v>63</v>
      </c>
    </row>
    <row r="163" ht="24.75" customHeight="1">
      <c r="A163" s="51" t="s">
        <v>464</v>
      </c>
      <c r="B163" s="52" t="s">
        <v>46</v>
      </c>
      <c r="C163" s="53" t="s">
        <v>455</v>
      </c>
      <c r="D163" s="83" t="s">
        <v>465</v>
      </c>
      <c r="E163" s="55">
        <v>99700.0</v>
      </c>
      <c r="F163" s="69" t="s">
        <v>457</v>
      </c>
      <c r="G163" s="59" t="s">
        <v>55</v>
      </c>
      <c r="H163" s="58" t="str">
        <f t="shared" si="4"/>
        <v>14-05</v>
      </c>
      <c r="I163" s="59"/>
      <c r="J163" s="59"/>
      <c r="K163" s="60" t="s">
        <v>50</v>
      </c>
      <c r="L163" s="61" t="s">
        <v>57</v>
      </c>
      <c r="M163" s="62" t="s">
        <v>63</v>
      </c>
    </row>
    <row r="164" ht="24.75" customHeight="1">
      <c r="A164" s="63" t="s">
        <v>466</v>
      </c>
      <c r="B164" s="41" t="s">
        <v>46</v>
      </c>
      <c r="C164" s="64" t="s">
        <v>455</v>
      </c>
      <c r="D164" s="84" t="s">
        <v>467</v>
      </c>
      <c r="E164" s="66">
        <v>106200.0</v>
      </c>
      <c r="F164" s="71" t="s">
        <v>457</v>
      </c>
      <c r="G164" s="45" t="s">
        <v>55</v>
      </c>
      <c r="H164" s="46" t="str">
        <f t="shared" si="4"/>
        <v>14-06</v>
      </c>
      <c r="I164" s="45"/>
      <c r="J164" s="45"/>
      <c r="K164" s="48" t="s">
        <v>50</v>
      </c>
      <c r="L164" s="68" t="s">
        <v>57</v>
      </c>
      <c r="M164" s="50" t="s">
        <v>63</v>
      </c>
    </row>
    <row r="165" ht="24.75" customHeight="1">
      <c r="A165" s="51" t="s">
        <v>468</v>
      </c>
      <c r="B165" s="52" t="s">
        <v>46</v>
      </c>
      <c r="C165" s="53" t="s">
        <v>455</v>
      </c>
      <c r="D165" s="83" t="s">
        <v>469</v>
      </c>
      <c r="E165" s="55">
        <v>156800.0</v>
      </c>
      <c r="F165" s="69" t="s">
        <v>457</v>
      </c>
      <c r="G165" s="59" t="s">
        <v>55</v>
      </c>
      <c r="H165" s="58" t="str">
        <f t="shared" si="4"/>
        <v>14-07</v>
      </c>
      <c r="I165" s="59"/>
      <c r="J165" s="59"/>
      <c r="K165" s="60" t="s">
        <v>50</v>
      </c>
      <c r="L165" s="61" t="s">
        <v>57</v>
      </c>
      <c r="M165" s="62" t="s">
        <v>63</v>
      </c>
    </row>
    <row r="166" ht="24.75" customHeight="1">
      <c r="A166" s="63" t="s">
        <v>470</v>
      </c>
      <c r="B166" s="41" t="s">
        <v>46</v>
      </c>
      <c r="C166" s="64" t="s">
        <v>455</v>
      </c>
      <c r="D166" s="84" t="s">
        <v>471</v>
      </c>
      <c r="E166" s="66">
        <v>35600.0</v>
      </c>
      <c r="F166" s="71" t="s">
        <v>457</v>
      </c>
      <c r="G166" s="45" t="s">
        <v>55</v>
      </c>
      <c r="H166" s="46" t="str">
        <f t="shared" si="4"/>
        <v>14-08</v>
      </c>
      <c r="I166" s="45"/>
      <c r="J166" s="45"/>
      <c r="K166" s="48" t="s">
        <v>50</v>
      </c>
      <c r="L166" s="68" t="s">
        <v>57</v>
      </c>
      <c r="M166" s="50" t="s">
        <v>63</v>
      </c>
    </row>
    <row r="167" ht="24.75" customHeight="1">
      <c r="A167" s="118" t="s">
        <v>472</v>
      </c>
      <c r="B167" s="52" t="s">
        <v>46</v>
      </c>
      <c r="C167" s="119"/>
      <c r="D167" s="125" t="s">
        <v>473</v>
      </c>
      <c r="E167" s="120" t="s">
        <v>47</v>
      </c>
      <c r="F167" s="121" t="s">
        <v>37</v>
      </c>
      <c r="G167" s="59"/>
      <c r="H167" s="58" t="str">
        <f t="shared" si="4"/>
        <v>15-00</v>
      </c>
      <c r="I167" s="59"/>
      <c r="J167" s="59"/>
      <c r="K167" s="60" t="s">
        <v>50</v>
      </c>
      <c r="L167" s="122"/>
      <c r="M167" s="62" t="s">
        <v>63</v>
      </c>
    </row>
    <row r="168" ht="24.75" customHeight="1">
      <c r="A168" s="63" t="s">
        <v>474</v>
      </c>
      <c r="B168" s="41" t="s">
        <v>46</v>
      </c>
      <c r="C168" s="64" t="s">
        <v>475</v>
      </c>
      <c r="D168" s="154" t="s">
        <v>476</v>
      </c>
      <c r="E168" s="66">
        <v>61600.0</v>
      </c>
      <c r="F168" s="71" t="s">
        <v>477</v>
      </c>
      <c r="G168" s="45" t="s">
        <v>55</v>
      </c>
      <c r="H168" s="46" t="str">
        <f t="shared" si="4"/>
        <v>15-01</v>
      </c>
      <c r="I168" s="45"/>
      <c r="J168" s="45"/>
      <c r="K168" s="48" t="s">
        <v>50</v>
      </c>
      <c r="L168" s="68" t="s">
        <v>57</v>
      </c>
      <c r="M168" s="50" t="s">
        <v>63</v>
      </c>
    </row>
    <row r="169" ht="24.75" customHeight="1">
      <c r="A169" s="51" t="s">
        <v>478</v>
      </c>
      <c r="B169" s="52" t="s">
        <v>46</v>
      </c>
      <c r="C169" s="53" t="s">
        <v>475</v>
      </c>
      <c r="D169" s="154" t="s">
        <v>479</v>
      </c>
      <c r="E169" s="55">
        <v>91900.0</v>
      </c>
      <c r="F169" s="69" t="s">
        <v>477</v>
      </c>
      <c r="G169" s="59" t="s">
        <v>55</v>
      </c>
      <c r="H169" s="58" t="str">
        <f t="shared" si="4"/>
        <v>15-02</v>
      </c>
      <c r="I169" s="59"/>
      <c r="J169" s="59"/>
      <c r="K169" s="60" t="s">
        <v>50</v>
      </c>
      <c r="L169" s="61" t="s">
        <v>57</v>
      </c>
      <c r="M169" s="62" t="s">
        <v>63</v>
      </c>
    </row>
    <row r="170" ht="24.75" customHeight="1">
      <c r="A170" s="63" t="s">
        <v>480</v>
      </c>
      <c r="B170" s="41" t="s">
        <v>46</v>
      </c>
      <c r="C170" s="64" t="s">
        <v>475</v>
      </c>
      <c r="D170" s="154" t="s">
        <v>481</v>
      </c>
      <c r="E170" s="66">
        <v>139600.0</v>
      </c>
      <c r="F170" s="71" t="s">
        <v>477</v>
      </c>
      <c r="G170" s="45" t="s">
        <v>55</v>
      </c>
      <c r="H170" s="46" t="str">
        <f t="shared" si="4"/>
        <v>15-03</v>
      </c>
      <c r="I170" s="45"/>
      <c r="J170" s="45"/>
      <c r="K170" s="48" t="s">
        <v>50</v>
      </c>
      <c r="L170" s="68" t="s">
        <v>57</v>
      </c>
      <c r="M170" s="50" t="s">
        <v>63</v>
      </c>
    </row>
    <row r="171" ht="24.75" customHeight="1">
      <c r="A171" s="51" t="s">
        <v>482</v>
      </c>
      <c r="B171" s="52" t="s">
        <v>46</v>
      </c>
      <c r="C171" s="53" t="s">
        <v>475</v>
      </c>
      <c r="D171" s="154" t="s">
        <v>483</v>
      </c>
      <c r="E171" s="55">
        <v>62100.0</v>
      </c>
      <c r="F171" s="69" t="s">
        <v>477</v>
      </c>
      <c r="G171" s="59" t="s">
        <v>55</v>
      </c>
      <c r="H171" s="58" t="str">
        <f t="shared" si="4"/>
        <v>15-04</v>
      </c>
      <c r="I171" s="59"/>
      <c r="J171" s="59"/>
      <c r="K171" s="60" t="s">
        <v>50</v>
      </c>
      <c r="L171" s="61" t="s">
        <v>57</v>
      </c>
      <c r="M171" s="62" t="s">
        <v>63</v>
      </c>
    </row>
    <row r="172" ht="24.75" customHeight="1">
      <c r="A172" s="63" t="s">
        <v>484</v>
      </c>
      <c r="B172" s="41" t="s">
        <v>46</v>
      </c>
      <c r="C172" s="64" t="s">
        <v>475</v>
      </c>
      <c r="D172" s="154" t="s">
        <v>485</v>
      </c>
      <c r="E172" s="66">
        <v>118400.0</v>
      </c>
      <c r="F172" s="67" t="s">
        <v>486</v>
      </c>
      <c r="G172" s="45" t="s">
        <v>55</v>
      </c>
      <c r="H172" s="46" t="str">
        <f t="shared" si="4"/>
        <v>15-05</v>
      </c>
      <c r="I172" s="45"/>
      <c r="J172" s="45"/>
      <c r="K172" s="48" t="s">
        <v>50</v>
      </c>
      <c r="L172" s="68" t="s">
        <v>57</v>
      </c>
      <c r="M172" s="50" t="s">
        <v>63</v>
      </c>
    </row>
    <row r="173" ht="24.75" customHeight="1">
      <c r="A173" s="51" t="s">
        <v>487</v>
      </c>
      <c r="B173" s="52" t="s">
        <v>46</v>
      </c>
      <c r="C173" s="53" t="s">
        <v>475</v>
      </c>
      <c r="D173" s="154" t="s">
        <v>488</v>
      </c>
      <c r="E173" s="55">
        <v>89800.0</v>
      </c>
      <c r="F173" s="69" t="s">
        <v>489</v>
      </c>
      <c r="G173" s="59" t="s">
        <v>55</v>
      </c>
      <c r="H173" s="58" t="str">
        <f t="shared" si="4"/>
        <v>15-06</v>
      </c>
      <c r="I173" s="59"/>
      <c r="J173" s="59"/>
      <c r="K173" s="60" t="s">
        <v>50</v>
      </c>
      <c r="L173" s="61" t="s">
        <v>57</v>
      </c>
      <c r="M173" s="62" t="s">
        <v>63</v>
      </c>
    </row>
    <row r="174" ht="24.75" customHeight="1">
      <c r="A174" s="63" t="s">
        <v>490</v>
      </c>
      <c r="B174" s="41" t="s">
        <v>46</v>
      </c>
      <c r="C174" s="64" t="s">
        <v>475</v>
      </c>
      <c r="D174" s="154" t="s">
        <v>491</v>
      </c>
      <c r="E174" s="66">
        <v>102600.0</v>
      </c>
      <c r="F174" s="71" t="s">
        <v>489</v>
      </c>
      <c r="G174" s="45" t="s">
        <v>55</v>
      </c>
      <c r="H174" s="46" t="str">
        <f t="shared" si="4"/>
        <v>15-07</v>
      </c>
      <c r="I174" s="45"/>
      <c r="J174" s="45"/>
      <c r="K174" s="48" t="s">
        <v>50</v>
      </c>
      <c r="L174" s="68" t="s">
        <v>57</v>
      </c>
      <c r="M174" s="50" t="s">
        <v>63</v>
      </c>
    </row>
    <row r="175" ht="24.75" customHeight="1">
      <c r="A175" s="51" t="s">
        <v>492</v>
      </c>
      <c r="B175" s="52" t="s">
        <v>46</v>
      </c>
      <c r="C175" s="53" t="s">
        <v>475</v>
      </c>
      <c r="D175" s="154" t="s">
        <v>493</v>
      </c>
      <c r="E175" s="55">
        <v>414500.0</v>
      </c>
      <c r="F175" s="69" t="s">
        <v>489</v>
      </c>
      <c r="G175" s="59" t="s">
        <v>55</v>
      </c>
      <c r="H175" s="58" t="str">
        <f t="shared" si="4"/>
        <v>15-08</v>
      </c>
      <c r="I175" s="59"/>
      <c r="J175" s="59"/>
      <c r="K175" s="60" t="s">
        <v>50</v>
      </c>
      <c r="L175" s="61" t="s">
        <v>57</v>
      </c>
      <c r="M175" s="62" t="s">
        <v>63</v>
      </c>
    </row>
    <row r="176" ht="24.75" customHeight="1">
      <c r="A176" s="40" t="s">
        <v>494</v>
      </c>
      <c r="B176" s="41" t="s">
        <v>46</v>
      </c>
      <c r="C176" s="42"/>
      <c r="D176" s="125" t="s">
        <v>495</v>
      </c>
      <c r="E176" s="44" t="s">
        <v>47</v>
      </c>
      <c r="F176" s="43" t="s">
        <v>37</v>
      </c>
      <c r="G176" s="45"/>
      <c r="H176" s="46" t="str">
        <f t="shared" si="4"/>
        <v>16-00</v>
      </c>
      <c r="I176" s="45"/>
      <c r="J176" s="45"/>
      <c r="K176" s="48" t="s">
        <v>50</v>
      </c>
      <c r="L176" s="49"/>
      <c r="M176" s="50" t="s">
        <v>63</v>
      </c>
    </row>
    <row r="177" ht="24.75" customHeight="1">
      <c r="A177" s="51" t="s">
        <v>496</v>
      </c>
      <c r="B177" s="52" t="s">
        <v>46</v>
      </c>
      <c r="C177" s="53" t="s">
        <v>497</v>
      </c>
      <c r="D177" s="83" t="s">
        <v>498</v>
      </c>
      <c r="E177" s="55">
        <v>80200.0</v>
      </c>
      <c r="F177" s="69" t="s">
        <v>499</v>
      </c>
      <c r="G177" s="59" t="s">
        <v>55</v>
      </c>
      <c r="H177" s="58" t="str">
        <f t="shared" si="4"/>
        <v>16-01</v>
      </c>
      <c r="I177" s="59"/>
      <c r="J177" s="59"/>
      <c r="K177" s="60" t="s">
        <v>50</v>
      </c>
      <c r="L177" s="61" t="s">
        <v>57</v>
      </c>
      <c r="M177" s="62" t="s">
        <v>63</v>
      </c>
    </row>
    <row r="178" ht="24.75" customHeight="1">
      <c r="A178" s="63" t="s">
        <v>500</v>
      </c>
      <c r="B178" s="41" t="s">
        <v>46</v>
      </c>
      <c r="C178" s="64" t="s">
        <v>497</v>
      </c>
      <c r="D178" s="84" t="s">
        <v>501</v>
      </c>
      <c r="E178" s="66">
        <v>120300.0</v>
      </c>
      <c r="F178" s="71" t="s">
        <v>499</v>
      </c>
      <c r="G178" s="45" t="s">
        <v>55</v>
      </c>
      <c r="H178" s="46" t="str">
        <f t="shared" si="4"/>
        <v>16-02</v>
      </c>
      <c r="I178" s="45"/>
      <c r="J178" s="45"/>
      <c r="K178" s="48" t="s">
        <v>50</v>
      </c>
      <c r="L178" s="68" t="s">
        <v>57</v>
      </c>
      <c r="M178" s="50" t="s">
        <v>63</v>
      </c>
    </row>
    <row r="179" ht="24.75" customHeight="1">
      <c r="A179" s="51" t="s">
        <v>502</v>
      </c>
      <c r="B179" s="52" t="s">
        <v>46</v>
      </c>
      <c r="C179" s="53" t="s">
        <v>497</v>
      </c>
      <c r="D179" s="83" t="s">
        <v>503</v>
      </c>
      <c r="E179" s="55">
        <v>200500.0</v>
      </c>
      <c r="F179" s="69" t="s">
        <v>499</v>
      </c>
      <c r="G179" s="59" t="s">
        <v>55</v>
      </c>
      <c r="H179" s="58" t="str">
        <f t="shared" si="4"/>
        <v>16-03</v>
      </c>
      <c r="I179" s="59"/>
      <c r="J179" s="59"/>
      <c r="K179" s="60" t="s">
        <v>50</v>
      </c>
      <c r="L179" s="61" t="s">
        <v>57</v>
      </c>
      <c r="M179" s="62" t="s">
        <v>63</v>
      </c>
    </row>
    <row r="180" ht="24.75" customHeight="1">
      <c r="A180" s="63" t="s">
        <v>504</v>
      </c>
      <c r="B180" s="41" t="s">
        <v>46</v>
      </c>
      <c r="C180" s="64" t="s">
        <v>497</v>
      </c>
      <c r="D180" s="84" t="s">
        <v>505</v>
      </c>
      <c r="E180" s="66">
        <v>288700.0</v>
      </c>
      <c r="F180" s="71" t="s">
        <v>499</v>
      </c>
      <c r="G180" s="45" t="s">
        <v>55</v>
      </c>
      <c r="H180" s="46" t="str">
        <f t="shared" si="4"/>
        <v>16-04</v>
      </c>
      <c r="I180" s="45"/>
      <c r="J180" s="45"/>
      <c r="K180" s="48" t="s">
        <v>50</v>
      </c>
      <c r="L180" s="68" t="s">
        <v>57</v>
      </c>
      <c r="M180" s="50" t="s">
        <v>63</v>
      </c>
    </row>
    <row r="181" ht="24.75" customHeight="1">
      <c r="A181" s="51" t="s">
        <v>506</v>
      </c>
      <c r="B181" s="52" t="s">
        <v>46</v>
      </c>
      <c r="C181" s="53" t="s">
        <v>497</v>
      </c>
      <c r="D181" s="83" t="s">
        <v>507</v>
      </c>
      <c r="E181" s="55">
        <v>401100.0</v>
      </c>
      <c r="F181" s="69" t="s">
        <v>499</v>
      </c>
      <c r="G181" s="59" t="s">
        <v>55</v>
      </c>
      <c r="H181" s="58" t="str">
        <f t="shared" si="4"/>
        <v>16-05</v>
      </c>
      <c r="I181" s="59"/>
      <c r="J181" s="59"/>
      <c r="K181" s="60" t="s">
        <v>50</v>
      </c>
      <c r="L181" s="61" t="s">
        <v>57</v>
      </c>
      <c r="M181" s="62" t="s">
        <v>63</v>
      </c>
    </row>
    <row r="182" ht="24.75" customHeight="1">
      <c r="A182" s="63" t="s">
        <v>508</v>
      </c>
      <c r="B182" s="41" t="s">
        <v>46</v>
      </c>
      <c r="C182" s="64" t="s">
        <v>497</v>
      </c>
      <c r="D182" s="84" t="s">
        <v>509</v>
      </c>
      <c r="E182" s="155">
        <v>0.07</v>
      </c>
      <c r="F182" s="67" t="s">
        <v>510</v>
      </c>
      <c r="G182" s="45" t="s">
        <v>55</v>
      </c>
      <c r="H182" s="46" t="str">
        <f t="shared" si="4"/>
        <v>16-06</v>
      </c>
      <c r="I182" s="45"/>
      <c r="J182" s="45"/>
      <c r="K182" s="48" t="s">
        <v>50</v>
      </c>
      <c r="L182" s="68" t="s">
        <v>57</v>
      </c>
      <c r="M182" s="50" t="s">
        <v>63</v>
      </c>
    </row>
    <row r="183" ht="24.75" customHeight="1">
      <c r="A183" s="51" t="s">
        <v>511</v>
      </c>
      <c r="B183" s="52" t="s">
        <v>46</v>
      </c>
      <c r="C183" s="53" t="s">
        <v>497</v>
      </c>
      <c r="D183" s="83" t="s">
        <v>512</v>
      </c>
      <c r="E183" s="55">
        <v>40100.0</v>
      </c>
      <c r="F183" s="156"/>
      <c r="G183" s="57" t="s">
        <v>75</v>
      </c>
      <c r="H183" s="58" t="str">
        <f t="shared" si="4"/>
        <v>16-07</v>
      </c>
      <c r="I183" s="59"/>
      <c r="J183" s="59"/>
      <c r="K183" s="60" t="s">
        <v>50</v>
      </c>
      <c r="L183" s="61" t="s">
        <v>57</v>
      </c>
      <c r="M183" s="62" t="s">
        <v>63</v>
      </c>
    </row>
    <row r="184" ht="24.75" customHeight="1">
      <c r="A184" s="63" t="s">
        <v>513</v>
      </c>
      <c r="B184" s="41" t="s">
        <v>46</v>
      </c>
      <c r="C184" s="64" t="s">
        <v>497</v>
      </c>
      <c r="D184" s="84" t="s">
        <v>514</v>
      </c>
      <c r="E184" s="66">
        <v>62700.0</v>
      </c>
      <c r="F184" s="67" t="s">
        <v>515</v>
      </c>
      <c r="G184" s="47" t="s">
        <v>75</v>
      </c>
      <c r="H184" s="46" t="str">
        <f t="shared" si="4"/>
        <v>16-08</v>
      </c>
      <c r="I184" s="45"/>
      <c r="J184" s="45"/>
      <c r="K184" s="48" t="s">
        <v>50</v>
      </c>
      <c r="L184" s="68" t="s">
        <v>57</v>
      </c>
      <c r="M184" s="50" t="s">
        <v>63</v>
      </c>
    </row>
    <row r="185" ht="24.75" customHeight="1">
      <c r="A185" s="51" t="s">
        <v>516</v>
      </c>
      <c r="B185" s="52" t="s">
        <v>46</v>
      </c>
      <c r="C185" s="53" t="s">
        <v>497</v>
      </c>
      <c r="D185" s="83" t="s">
        <v>517</v>
      </c>
      <c r="E185" s="55">
        <v>65500.0</v>
      </c>
      <c r="F185" s="156"/>
      <c r="G185" s="57" t="s">
        <v>75</v>
      </c>
      <c r="H185" s="58" t="str">
        <f t="shared" si="4"/>
        <v>16-09</v>
      </c>
      <c r="I185" s="59"/>
      <c r="J185" s="59"/>
      <c r="K185" s="60" t="s">
        <v>50</v>
      </c>
      <c r="L185" s="61" t="s">
        <v>57</v>
      </c>
      <c r="M185" s="62" t="s">
        <v>63</v>
      </c>
    </row>
    <row r="186" ht="24.75" customHeight="1">
      <c r="A186" s="63" t="s">
        <v>518</v>
      </c>
      <c r="B186" s="41" t="s">
        <v>46</v>
      </c>
      <c r="C186" s="64" t="s">
        <v>497</v>
      </c>
      <c r="D186" s="84" t="s">
        <v>519</v>
      </c>
      <c r="E186" s="66">
        <v>19200.0</v>
      </c>
      <c r="F186" s="157"/>
      <c r="G186" s="47" t="s">
        <v>75</v>
      </c>
      <c r="H186" s="46" t="str">
        <f t="shared" si="4"/>
        <v>16-10</v>
      </c>
      <c r="I186" s="45"/>
      <c r="J186" s="45"/>
      <c r="K186" s="48" t="s">
        <v>50</v>
      </c>
      <c r="L186" s="68" t="s">
        <v>57</v>
      </c>
      <c r="M186" s="50" t="s">
        <v>63</v>
      </c>
    </row>
    <row r="187" ht="24.75" customHeight="1">
      <c r="A187" s="51" t="s">
        <v>520</v>
      </c>
      <c r="B187" s="52" t="s">
        <v>46</v>
      </c>
      <c r="C187" s="53" t="s">
        <v>497</v>
      </c>
      <c r="D187" s="83" t="s">
        <v>521</v>
      </c>
      <c r="E187" s="55">
        <v>58400.0</v>
      </c>
      <c r="F187" s="69" t="s">
        <v>522</v>
      </c>
      <c r="G187" s="59" t="s">
        <v>55</v>
      </c>
      <c r="H187" s="58" t="str">
        <f t="shared" si="4"/>
        <v>16-11</v>
      </c>
      <c r="I187" s="59"/>
      <c r="J187" s="59"/>
      <c r="K187" s="60" t="s">
        <v>50</v>
      </c>
      <c r="L187" s="61" t="s">
        <v>57</v>
      </c>
      <c r="M187" s="62" t="s">
        <v>63</v>
      </c>
    </row>
    <row r="188" ht="24.75" customHeight="1">
      <c r="A188" s="63" t="s">
        <v>523</v>
      </c>
      <c r="B188" s="41" t="s">
        <v>46</v>
      </c>
      <c r="C188" s="64" t="s">
        <v>497</v>
      </c>
      <c r="D188" s="84" t="s">
        <v>524</v>
      </c>
      <c r="E188" s="66">
        <v>101500.0</v>
      </c>
      <c r="F188" s="71" t="s">
        <v>522</v>
      </c>
      <c r="G188" s="45" t="s">
        <v>55</v>
      </c>
      <c r="H188" s="46" t="str">
        <f t="shared" si="4"/>
        <v>16-12</v>
      </c>
      <c r="I188" s="45"/>
      <c r="J188" s="45"/>
      <c r="K188" s="48" t="s">
        <v>50</v>
      </c>
      <c r="L188" s="68" t="s">
        <v>57</v>
      </c>
      <c r="M188" s="50" t="s">
        <v>63</v>
      </c>
    </row>
    <row r="189" ht="24.75" customHeight="1">
      <c r="A189" s="51" t="s">
        <v>525</v>
      </c>
      <c r="B189" s="52" t="s">
        <v>46</v>
      </c>
      <c r="C189" s="53" t="s">
        <v>497</v>
      </c>
      <c r="D189" s="83" t="s">
        <v>526</v>
      </c>
      <c r="E189" s="55">
        <v>20700.0</v>
      </c>
      <c r="F189" s="69" t="s">
        <v>522</v>
      </c>
      <c r="G189" s="59" t="s">
        <v>55</v>
      </c>
      <c r="H189" s="58" t="str">
        <f t="shared" si="4"/>
        <v>16-13</v>
      </c>
      <c r="I189" s="59"/>
      <c r="J189" s="59"/>
      <c r="K189" s="60" t="s">
        <v>50</v>
      </c>
      <c r="L189" s="61" t="s">
        <v>57</v>
      </c>
      <c r="M189" s="62" t="s">
        <v>63</v>
      </c>
    </row>
    <row r="190" ht="24.75" customHeight="1">
      <c r="A190" s="63" t="s">
        <v>527</v>
      </c>
      <c r="B190" s="41" t="s">
        <v>46</v>
      </c>
      <c r="C190" s="64" t="s">
        <v>497</v>
      </c>
      <c r="D190" s="84" t="s">
        <v>528</v>
      </c>
      <c r="E190" s="66">
        <v>33400.0</v>
      </c>
      <c r="F190" s="157"/>
      <c r="G190" s="47" t="s">
        <v>75</v>
      </c>
      <c r="H190" s="46" t="str">
        <f t="shared" si="4"/>
        <v>16-14</v>
      </c>
      <c r="I190" s="45"/>
      <c r="J190" s="45"/>
      <c r="K190" s="48" t="s">
        <v>50</v>
      </c>
      <c r="L190" s="68" t="s">
        <v>57</v>
      </c>
      <c r="M190" s="50" t="s">
        <v>63</v>
      </c>
    </row>
    <row r="191" ht="24.75" customHeight="1">
      <c r="A191" s="51" t="s">
        <v>529</v>
      </c>
      <c r="B191" s="52" t="s">
        <v>46</v>
      </c>
      <c r="C191" s="53" t="s">
        <v>497</v>
      </c>
      <c r="D191" s="83" t="s">
        <v>530</v>
      </c>
      <c r="E191" s="55">
        <v>51900.0</v>
      </c>
      <c r="F191" s="56" t="s">
        <v>531</v>
      </c>
      <c r="G191" s="57" t="s">
        <v>75</v>
      </c>
      <c r="H191" s="58" t="str">
        <f t="shared" si="4"/>
        <v>16-15</v>
      </c>
      <c r="I191" s="59"/>
      <c r="J191" s="59"/>
      <c r="K191" s="60" t="s">
        <v>50</v>
      </c>
      <c r="L191" s="61" t="s">
        <v>57</v>
      </c>
      <c r="M191" s="62" t="s">
        <v>63</v>
      </c>
    </row>
    <row r="192" ht="24.75" customHeight="1">
      <c r="A192" s="63" t="s">
        <v>532</v>
      </c>
      <c r="B192" s="41" t="s">
        <v>46</v>
      </c>
      <c r="C192" s="64" t="s">
        <v>497</v>
      </c>
      <c r="D192" s="84" t="s">
        <v>533</v>
      </c>
      <c r="E192" s="66">
        <v>74600.0</v>
      </c>
      <c r="F192" s="157"/>
      <c r="G192" s="47" t="s">
        <v>75</v>
      </c>
      <c r="H192" s="46" t="str">
        <f t="shared" si="4"/>
        <v>16-16</v>
      </c>
      <c r="I192" s="45"/>
      <c r="J192" s="45"/>
      <c r="K192" s="48" t="s">
        <v>50</v>
      </c>
      <c r="L192" s="68" t="s">
        <v>57</v>
      </c>
      <c r="M192" s="50" t="s">
        <v>63</v>
      </c>
    </row>
    <row r="193" ht="24.75" customHeight="1">
      <c r="A193" s="51" t="s">
        <v>534</v>
      </c>
      <c r="B193" s="52" t="s">
        <v>46</v>
      </c>
      <c r="C193" s="53" t="s">
        <v>497</v>
      </c>
      <c r="D193" s="83" t="s">
        <v>535</v>
      </c>
      <c r="E193" s="55">
        <v>88200.0</v>
      </c>
      <c r="F193" s="56" t="s">
        <v>536</v>
      </c>
      <c r="G193" s="59" t="s">
        <v>55</v>
      </c>
      <c r="H193" s="58" t="str">
        <f t="shared" si="4"/>
        <v>16-17</v>
      </c>
      <c r="I193" s="59"/>
      <c r="J193" s="59"/>
      <c r="K193" s="60" t="s">
        <v>50</v>
      </c>
      <c r="L193" s="61" t="s">
        <v>57</v>
      </c>
      <c r="M193" s="62" t="s">
        <v>63</v>
      </c>
    </row>
    <row r="194" ht="24.75" customHeight="1">
      <c r="A194" s="63" t="s">
        <v>537</v>
      </c>
      <c r="B194" s="41" t="s">
        <v>46</v>
      </c>
      <c r="C194" s="64" t="s">
        <v>497</v>
      </c>
      <c r="D194" s="84" t="s">
        <v>538</v>
      </c>
      <c r="E194" s="66">
        <v>422800.0</v>
      </c>
      <c r="F194" s="67" t="s">
        <v>539</v>
      </c>
      <c r="G194" s="45" t="s">
        <v>55</v>
      </c>
      <c r="H194" s="46" t="str">
        <f t="shared" si="4"/>
        <v>16-18</v>
      </c>
      <c r="I194" s="45"/>
      <c r="J194" s="45"/>
      <c r="K194" s="48" t="s">
        <v>50</v>
      </c>
      <c r="L194" s="68" t="s">
        <v>57</v>
      </c>
      <c r="M194" s="50" t="s">
        <v>63</v>
      </c>
    </row>
    <row r="195" ht="24.75" customHeight="1">
      <c r="A195" s="51" t="s">
        <v>540</v>
      </c>
      <c r="B195" s="52" t="s">
        <v>46</v>
      </c>
      <c r="C195" s="53" t="s">
        <v>497</v>
      </c>
      <c r="D195" s="83" t="s">
        <v>541</v>
      </c>
      <c r="E195" s="55">
        <v>576400.0</v>
      </c>
      <c r="F195" s="56" t="s">
        <v>539</v>
      </c>
      <c r="G195" s="59" t="s">
        <v>55</v>
      </c>
      <c r="H195" s="58" t="str">
        <f t="shared" si="4"/>
        <v>16-19</v>
      </c>
      <c r="I195" s="59"/>
      <c r="J195" s="59"/>
      <c r="K195" s="60" t="s">
        <v>50</v>
      </c>
      <c r="L195" s="61" t="s">
        <v>57</v>
      </c>
      <c r="M195" s="62" t="s">
        <v>63</v>
      </c>
    </row>
    <row r="196" ht="24.75" customHeight="1">
      <c r="A196" s="63" t="s">
        <v>542</v>
      </c>
      <c r="B196" s="41" t="s">
        <v>46</v>
      </c>
      <c r="C196" s="64" t="s">
        <v>497</v>
      </c>
      <c r="D196" s="84" t="s">
        <v>543</v>
      </c>
      <c r="E196" s="66">
        <v>221100.0</v>
      </c>
      <c r="F196" s="67" t="s">
        <v>544</v>
      </c>
      <c r="G196" s="45" t="s">
        <v>55</v>
      </c>
      <c r="H196" s="46" t="str">
        <f t="shared" si="4"/>
        <v>16-20</v>
      </c>
      <c r="I196" s="45"/>
      <c r="J196" s="45"/>
      <c r="K196" s="48" t="s">
        <v>50</v>
      </c>
      <c r="L196" s="68" t="s">
        <v>57</v>
      </c>
      <c r="M196" s="50" t="s">
        <v>63</v>
      </c>
    </row>
    <row r="197" ht="24.75" customHeight="1">
      <c r="A197" s="51" t="s">
        <v>545</v>
      </c>
      <c r="B197" s="52" t="s">
        <v>46</v>
      </c>
      <c r="C197" s="53" t="s">
        <v>497</v>
      </c>
      <c r="D197" s="83" t="s">
        <v>546</v>
      </c>
      <c r="E197" s="55">
        <v>284300.0</v>
      </c>
      <c r="F197" s="56" t="s">
        <v>544</v>
      </c>
      <c r="G197" s="59" t="s">
        <v>55</v>
      </c>
      <c r="H197" s="58" t="str">
        <f t="shared" si="4"/>
        <v>16-21</v>
      </c>
      <c r="I197" s="59"/>
      <c r="J197" s="59"/>
      <c r="K197" s="60" t="s">
        <v>50</v>
      </c>
      <c r="L197" s="61" t="s">
        <v>57</v>
      </c>
      <c r="M197" s="62" t="s">
        <v>63</v>
      </c>
    </row>
    <row r="198" ht="24.75" customHeight="1">
      <c r="A198" s="63" t="s">
        <v>547</v>
      </c>
      <c r="B198" s="41" t="s">
        <v>46</v>
      </c>
      <c r="C198" s="64" t="s">
        <v>497</v>
      </c>
      <c r="D198" s="84" t="s">
        <v>548</v>
      </c>
      <c r="E198" s="66">
        <v>59200.0</v>
      </c>
      <c r="F198" s="71" t="s">
        <v>549</v>
      </c>
      <c r="G198" s="45" t="s">
        <v>55</v>
      </c>
      <c r="H198" s="46" t="str">
        <f t="shared" si="4"/>
        <v>16-22</v>
      </c>
      <c r="I198" s="45"/>
      <c r="J198" s="45"/>
      <c r="K198" s="48" t="s">
        <v>50</v>
      </c>
      <c r="L198" s="68" t="s">
        <v>57</v>
      </c>
      <c r="M198" s="50" t="s">
        <v>63</v>
      </c>
    </row>
    <row r="199" ht="24.75" customHeight="1">
      <c r="A199" s="51" t="s">
        <v>550</v>
      </c>
      <c r="B199" s="52" t="s">
        <v>46</v>
      </c>
      <c r="C199" s="53" t="s">
        <v>497</v>
      </c>
      <c r="D199" s="83" t="s">
        <v>551</v>
      </c>
      <c r="E199" s="55">
        <v>118400.0</v>
      </c>
      <c r="F199" s="69" t="s">
        <v>549</v>
      </c>
      <c r="G199" s="59" t="s">
        <v>55</v>
      </c>
      <c r="H199" s="58" t="str">
        <f t="shared" si="4"/>
        <v>16-23</v>
      </c>
      <c r="I199" s="59"/>
      <c r="J199" s="59"/>
      <c r="K199" s="60" t="s">
        <v>50</v>
      </c>
      <c r="L199" s="61" t="s">
        <v>57</v>
      </c>
      <c r="M199" s="62" t="s">
        <v>63</v>
      </c>
    </row>
    <row r="200" ht="24.75" customHeight="1">
      <c r="A200" s="63" t="s">
        <v>552</v>
      </c>
      <c r="B200" s="41" t="s">
        <v>46</v>
      </c>
      <c r="C200" s="64" t="s">
        <v>497</v>
      </c>
      <c r="D200" s="84" t="s">
        <v>553</v>
      </c>
      <c r="E200" s="66">
        <v>157900.0</v>
      </c>
      <c r="F200" s="71" t="s">
        <v>549</v>
      </c>
      <c r="G200" s="45" t="s">
        <v>55</v>
      </c>
      <c r="H200" s="46" t="str">
        <f t="shared" si="4"/>
        <v>16-24</v>
      </c>
      <c r="I200" s="45"/>
      <c r="J200" s="45"/>
      <c r="K200" s="48" t="s">
        <v>50</v>
      </c>
      <c r="L200" s="68" t="s">
        <v>57</v>
      </c>
      <c r="M200" s="50" t="s">
        <v>63</v>
      </c>
    </row>
    <row r="201" ht="24.75" customHeight="1">
      <c r="A201" s="51" t="s">
        <v>554</v>
      </c>
      <c r="B201" s="52" t="s">
        <v>46</v>
      </c>
      <c r="C201" s="53" t="s">
        <v>497</v>
      </c>
      <c r="D201" s="83" t="s">
        <v>555</v>
      </c>
      <c r="E201" s="55">
        <v>118400.0</v>
      </c>
      <c r="F201" s="56" t="s">
        <v>556</v>
      </c>
      <c r="G201" s="59" t="s">
        <v>55</v>
      </c>
      <c r="H201" s="58" t="str">
        <f t="shared" si="4"/>
        <v>16-25</v>
      </c>
      <c r="I201" s="59"/>
      <c r="J201" s="59"/>
      <c r="K201" s="60" t="s">
        <v>50</v>
      </c>
      <c r="L201" s="61" t="s">
        <v>57</v>
      </c>
      <c r="M201" s="62" t="s">
        <v>63</v>
      </c>
    </row>
    <row r="202" ht="24.75" customHeight="1">
      <c r="A202" s="63" t="s">
        <v>557</v>
      </c>
      <c r="B202" s="41" t="s">
        <v>46</v>
      </c>
      <c r="C202" s="64" t="s">
        <v>497</v>
      </c>
      <c r="D202" s="84" t="s">
        <v>558</v>
      </c>
      <c r="E202" s="66">
        <v>187500.0</v>
      </c>
      <c r="F202" s="67" t="s">
        <v>556</v>
      </c>
      <c r="G202" s="45" t="s">
        <v>55</v>
      </c>
      <c r="H202" s="46" t="str">
        <f t="shared" si="4"/>
        <v>16-26</v>
      </c>
      <c r="I202" s="45"/>
      <c r="J202" s="45"/>
      <c r="K202" s="48" t="s">
        <v>50</v>
      </c>
      <c r="L202" s="68" t="s">
        <v>57</v>
      </c>
      <c r="M202" s="50" t="s">
        <v>63</v>
      </c>
    </row>
    <row r="203" ht="24.75" customHeight="1">
      <c r="A203" s="51" t="s">
        <v>559</v>
      </c>
      <c r="B203" s="52" t="s">
        <v>46</v>
      </c>
      <c r="C203" s="53" t="s">
        <v>497</v>
      </c>
      <c r="D203" s="83" t="s">
        <v>560</v>
      </c>
      <c r="E203" s="55">
        <v>493500.0</v>
      </c>
      <c r="F203" s="69" t="s">
        <v>561</v>
      </c>
      <c r="G203" s="59" t="s">
        <v>55</v>
      </c>
      <c r="H203" s="58" t="str">
        <f t="shared" si="4"/>
        <v>16-27</v>
      </c>
      <c r="I203" s="59"/>
      <c r="J203" s="59"/>
      <c r="K203" s="60" t="s">
        <v>50</v>
      </c>
      <c r="L203" s="61" t="s">
        <v>57</v>
      </c>
      <c r="M203" s="62" t="s">
        <v>63</v>
      </c>
    </row>
    <row r="204" ht="24.75" customHeight="1">
      <c r="A204" s="63" t="s">
        <v>562</v>
      </c>
      <c r="B204" s="41" t="s">
        <v>46</v>
      </c>
      <c r="C204" s="64" t="s">
        <v>497</v>
      </c>
      <c r="D204" s="84" t="s">
        <v>563</v>
      </c>
      <c r="E204" s="66">
        <v>888400.0</v>
      </c>
      <c r="F204" s="71" t="s">
        <v>561</v>
      </c>
      <c r="G204" s="45" t="s">
        <v>55</v>
      </c>
      <c r="H204" s="46" t="str">
        <f t="shared" si="4"/>
        <v>16-28</v>
      </c>
      <c r="I204" s="45"/>
      <c r="J204" s="45"/>
      <c r="K204" s="48" t="s">
        <v>50</v>
      </c>
      <c r="L204" s="68" t="s">
        <v>57</v>
      </c>
      <c r="M204" s="50" t="s">
        <v>63</v>
      </c>
    </row>
    <row r="205" ht="24.75" customHeight="1">
      <c r="A205" s="51" t="s">
        <v>564</v>
      </c>
      <c r="B205" s="52" t="s">
        <v>46</v>
      </c>
      <c r="C205" s="53" t="s">
        <v>497</v>
      </c>
      <c r="D205" s="83" t="s">
        <v>565</v>
      </c>
      <c r="E205" s="55">
        <v>1184500.0</v>
      </c>
      <c r="F205" s="69" t="s">
        <v>561</v>
      </c>
      <c r="G205" s="59" t="s">
        <v>55</v>
      </c>
      <c r="H205" s="58" t="str">
        <f t="shared" si="4"/>
        <v>16-29</v>
      </c>
      <c r="I205" s="59"/>
      <c r="J205" s="59"/>
      <c r="K205" s="60" t="s">
        <v>50</v>
      </c>
      <c r="L205" s="61" t="s">
        <v>57</v>
      </c>
      <c r="M205" s="62" t="s">
        <v>63</v>
      </c>
    </row>
    <row r="206" ht="24.75" customHeight="1">
      <c r="A206" s="40" t="s">
        <v>566</v>
      </c>
      <c r="B206" s="41" t="s">
        <v>46</v>
      </c>
      <c r="C206" s="42"/>
      <c r="D206" s="125" t="s">
        <v>567</v>
      </c>
      <c r="E206" s="44" t="s">
        <v>47</v>
      </c>
      <c r="F206" s="43" t="s">
        <v>37</v>
      </c>
      <c r="G206" s="45"/>
      <c r="H206" s="46" t="str">
        <f t="shared" si="4"/>
        <v>17-00</v>
      </c>
      <c r="I206" s="45"/>
      <c r="J206" s="45"/>
      <c r="K206" s="48" t="s">
        <v>50</v>
      </c>
      <c r="L206" s="49"/>
      <c r="M206" s="50" t="s">
        <v>63</v>
      </c>
    </row>
    <row r="207" ht="24.75" customHeight="1">
      <c r="A207" s="51" t="s">
        <v>568</v>
      </c>
      <c r="B207" s="52" t="s">
        <v>46</v>
      </c>
      <c r="C207" s="53" t="s">
        <v>569</v>
      </c>
      <c r="D207" s="83" t="s">
        <v>570</v>
      </c>
      <c r="E207" s="55">
        <v>88800.0</v>
      </c>
      <c r="F207" s="69" t="s">
        <v>571</v>
      </c>
      <c r="G207" s="59" t="s">
        <v>55</v>
      </c>
      <c r="H207" s="58" t="str">
        <f t="shared" si="4"/>
        <v>17-01</v>
      </c>
      <c r="I207" s="59"/>
      <c r="J207" s="59"/>
      <c r="K207" s="60" t="s">
        <v>50</v>
      </c>
      <c r="L207" s="61" t="s">
        <v>57</v>
      </c>
      <c r="M207" s="62" t="s">
        <v>63</v>
      </c>
    </row>
    <row r="208" ht="24.75" customHeight="1">
      <c r="A208" s="63" t="s">
        <v>572</v>
      </c>
      <c r="B208" s="41" t="s">
        <v>46</v>
      </c>
      <c r="C208" s="64" t="s">
        <v>569</v>
      </c>
      <c r="D208" s="84" t="s">
        <v>573</v>
      </c>
      <c r="E208" s="66">
        <v>133300.0</v>
      </c>
      <c r="F208" s="71" t="s">
        <v>571</v>
      </c>
      <c r="G208" s="45" t="s">
        <v>55</v>
      </c>
      <c r="H208" s="46" t="str">
        <f t="shared" si="4"/>
        <v>17-02</v>
      </c>
      <c r="I208" s="45"/>
      <c r="J208" s="45"/>
      <c r="K208" s="48" t="s">
        <v>50</v>
      </c>
      <c r="L208" s="68" t="s">
        <v>57</v>
      </c>
      <c r="M208" s="50" t="s">
        <v>63</v>
      </c>
    </row>
    <row r="209" ht="24.75" customHeight="1">
      <c r="A209" s="51" t="s">
        <v>574</v>
      </c>
      <c r="B209" s="52" t="s">
        <v>46</v>
      </c>
      <c r="C209" s="53" t="s">
        <v>569</v>
      </c>
      <c r="D209" s="83" t="s">
        <v>575</v>
      </c>
      <c r="E209" s="55">
        <v>26900.0</v>
      </c>
      <c r="F209" s="69" t="s">
        <v>571</v>
      </c>
      <c r="G209" s="59" t="s">
        <v>55</v>
      </c>
      <c r="H209" s="58" t="str">
        <f t="shared" si="4"/>
        <v>17-03</v>
      </c>
      <c r="I209" s="59"/>
      <c r="J209" s="59"/>
      <c r="K209" s="60" t="s">
        <v>50</v>
      </c>
      <c r="L209" s="61" t="s">
        <v>57</v>
      </c>
      <c r="M209" s="62" t="s">
        <v>63</v>
      </c>
    </row>
    <row r="210" ht="24.75" customHeight="1">
      <c r="A210" s="63" t="s">
        <v>576</v>
      </c>
      <c r="B210" s="41" t="s">
        <v>46</v>
      </c>
      <c r="C210" s="64" t="s">
        <v>569</v>
      </c>
      <c r="D210" s="84" t="s">
        <v>577</v>
      </c>
      <c r="E210" s="66">
        <v>169100.0</v>
      </c>
      <c r="F210" s="71" t="s">
        <v>571</v>
      </c>
      <c r="G210" s="45" t="s">
        <v>55</v>
      </c>
      <c r="H210" s="46" t="str">
        <f t="shared" si="4"/>
        <v>17-04</v>
      </c>
      <c r="I210" s="45"/>
      <c r="J210" s="45"/>
      <c r="K210" s="48" t="s">
        <v>50</v>
      </c>
      <c r="L210" s="68" t="s">
        <v>57</v>
      </c>
      <c r="M210" s="50" t="s">
        <v>63</v>
      </c>
    </row>
    <row r="211" ht="24.75" customHeight="1">
      <c r="A211" s="51" t="s">
        <v>578</v>
      </c>
      <c r="B211" s="52" t="s">
        <v>46</v>
      </c>
      <c r="C211" s="53" t="s">
        <v>569</v>
      </c>
      <c r="D211" s="83" t="s">
        <v>579</v>
      </c>
      <c r="E211" s="55">
        <v>46200.0</v>
      </c>
      <c r="F211" s="69" t="s">
        <v>571</v>
      </c>
      <c r="G211" s="59" t="s">
        <v>55</v>
      </c>
      <c r="H211" s="58" t="str">
        <f t="shared" si="4"/>
        <v>17-05</v>
      </c>
      <c r="I211" s="59"/>
      <c r="J211" s="59"/>
      <c r="K211" s="60" t="s">
        <v>50</v>
      </c>
      <c r="L211" s="61" t="s">
        <v>57</v>
      </c>
      <c r="M211" s="62" t="s">
        <v>63</v>
      </c>
    </row>
    <row r="212" ht="24.75" customHeight="1">
      <c r="A212" s="40" t="s">
        <v>580</v>
      </c>
      <c r="B212" s="41" t="s">
        <v>46</v>
      </c>
      <c r="C212" s="42"/>
      <c r="D212" s="125" t="s">
        <v>581</v>
      </c>
      <c r="E212" s="44" t="s">
        <v>47</v>
      </c>
      <c r="F212" s="43" t="s">
        <v>37</v>
      </c>
      <c r="G212" s="45"/>
      <c r="H212" s="46" t="str">
        <f t="shared" si="4"/>
        <v>18-00</v>
      </c>
      <c r="I212" s="45"/>
      <c r="J212" s="45"/>
      <c r="K212" s="48" t="s">
        <v>50</v>
      </c>
      <c r="L212" s="49"/>
      <c r="M212" s="50" t="s">
        <v>63</v>
      </c>
    </row>
    <row r="213" ht="24.75" customHeight="1">
      <c r="A213" s="51" t="s">
        <v>582</v>
      </c>
      <c r="B213" s="52" t="s">
        <v>46</v>
      </c>
      <c r="C213" s="53" t="s">
        <v>583</v>
      </c>
      <c r="D213" s="83" t="s">
        <v>584</v>
      </c>
      <c r="E213" s="55">
        <v>78800.0</v>
      </c>
      <c r="F213" s="69" t="s">
        <v>571</v>
      </c>
      <c r="G213" s="59" t="s">
        <v>55</v>
      </c>
      <c r="H213" s="58" t="str">
        <f t="shared" si="4"/>
        <v>18-01</v>
      </c>
      <c r="I213" s="59"/>
      <c r="J213" s="59"/>
      <c r="K213" s="60" t="s">
        <v>50</v>
      </c>
      <c r="L213" s="61" t="s">
        <v>57</v>
      </c>
      <c r="M213" s="62" t="s">
        <v>63</v>
      </c>
    </row>
    <row r="214" ht="24.75" customHeight="1">
      <c r="A214" s="63" t="s">
        <v>585</v>
      </c>
      <c r="B214" s="41" t="s">
        <v>46</v>
      </c>
      <c r="C214" s="64" t="s">
        <v>583</v>
      </c>
      <c r="D214" s="84" t="s">
        <v>586</v>
      </c>
      <c r="E214" s="66">
        <v>24700.0</v>
      </c>
      <c r="F214" s="71" t="s">
        <v>571</v>
      </c>
      <c r="G214" s="45" t="s">
        <v>55</v>
      </c>
      <c r="H214" s="46" t="str">
        <f t="shared" si="4"/>
        <v>18-02</v>
      </c>
      <c r="I214" s="45"/>
      <c r="J214" s="45"/>
      <c r="K214" s="48" t="s">
        <v>50</v>
      </c>
      <c r="L214" s="68" t="s">
        <v>57</v>
      </c>
      <c r="M214" s="50" t="s">
        <v>63</v>
      </c>
    </row>
    <row r="215" ht="24.75" customHeight="1">
      <c r="A215" s="51" t="s">
        <v>587</v>
      </c>
      <c r="B215" s="52" t="s">
        <v>46</v>
      </c>
      <c r="C215" s="53" t="s">
        <v>583</v>
      </c>
      <c r="D215" s="83" t="s">
        <v>588</v>
      </c>
      <c r="E215" s="55">
        <v>24700.0</v>
      </c>
      <c r="F215" s="69" t="s">
        <v>571</v>
      </c>
      <c r="G215" s="59" t="s">
        <v>55</v>
      </c>
      <c r="H215" s="58" t="str">
        <f t="shared" si="4"/>
        <v>18-03</v>
      </c>
      <c r="I215" s="59"/>
      <c r="J215" s="59"/>
      <c r="K215" s="60" t="s">
        <v>50</v>
      </c>
      <c r="L215" s="61" t="s">
        <v>57</v>
      </c>
      <c r="M215" s="62" t="s">
        <v>63</v>
      </c>
    </row>
    <row r="216" ht="24.75" customHeight="1">
      <c r="A216" s="63" t="s">
        <v>589</v>
      </c>
      <c r="B216" s="41" t="s">
        <v>46</v>
      </c>
      <c r="C216" s="64" t="s">
        <v>583</v>
      </c>
      <c r="D216" s="84" t="s">
        <v>590</v>
      </c>
      <c r="E216" s="66">
        <v>17000.0</v>
      </c>
      <c r="F216" s="71" t="s">
        <v>571</v>
      </c>
      <c r="G216" s="45" t="s">
        <v>55</v>
      </c>
      <c r="H216" s="46" t="str">
        <f t="shared" si="4"/>
        <v>18-04</v>
      </c>
      <c r="I216" s="45"/>
      <c r="J216" s="45"/>
      <c r="K216" s="48" t="s">
        <v>50</v>
      </c>
      <c r="L216" s="68" t="s">
        <v>57</v>
      </c>
      <c r="M216" s="50" t="s">
        <v>63</v>
      </c>
    </row>
    <row r="217" ht="24.75" customHeight="1">
      <c r="A217" s="51" t="s">
        <v>591</v>
      </c>
      <c r="B217" s="52" t="s">
        <v>46</v>
      </c>
      <c r="C217" s="53" t="s">
        <v>583</v>
      </c>
      <c r="D217" s="83" t="s">
        <v>592</v>
      </c>
      <c r="E217" s="55">
        <v>27800.0</v>
      </c>
      <c r="F217" s="69" t="s">
        <v>571</v>
      </c>
      <c r="G217" s="59" t="s">
        <v>55</v>
      </c>
      <c r="H217" s="58" t="str">
        <f t="shared" si="4"/>
        <v>18-05</v>
      </c>
      <c r="I217" s="59"/>
      <c r="J217" s="59"/>
      <c r="K217" s="60" t="s">
        <v>50</v>
      </c>
      <c r="L217" s="61" t="s">
        <v>57</v>
      </c>
      <c r="M217" s="62" t="s">
        <v>63</v>
      </c>
    </row>
    <row r="218" ht="24.75" customHeight="1">
      <c r="A218" s="40" t="s">
        <v>593</v>
      </c>
      <c r="B218" s="41" t="s">
        <v>46</v>
      </c>
      <c r="C218" s="42"/>
      <c r="D218" s="125" t="s">
        <v>594</v>
      </c>
      <c r="E218" s="44" t="s">
        <v>47</v>
      </c>
      <c r="F218" s="43" t="s">
        <v>37</v>
      </c>
      <c r="G218" s="45"/>
      <c r="H218" s="46" t="str">
        <f t="shared" si="4"/>
        <v>19-00</v>
      </c>
      <c r="I218" s="45"/>
      <c r="J218" s="45"/>
      <c r="K218" s="48" t="s">
        <v>50</v>
      </c>
      <c r="L218" s="49"/>
      <c r="M218" s="50" t="s">
        <v>63</v>
      </c>
    </row>
    <row r="219" ht="24.75" customHeight="1">
      <c r="A219" s="51" t="s">
        <v>595</v>
      </c>
      <c r="B219" s="52" t="s">
        <v>46</v>
      </c>
      <c r="C219" s="53" t="s">
        <v>596</v>
      </c>
      <c r="D219" s="83" t="s">
        <v>597</v>
      </c>
      <c r="E219" s="55">
        <v>20700.0</v>
      </c>
      <c r="F219" s="69" t="s">
        <v>571</v>
      </c>
      <c r="G219" s="57" t="s">
        <v>75</v>
      </c>
      <c r="H219" s="58" t="str">
        <f t="shared" si="4"/>
        <v>19-01</v>
      </c>
      <c r="I219" s="59"/>
      <c r="J219" s="59"/>
      <c r="K219" s="60" t="s">
        <v>50</v>
      </c>
      <c r="L219" s="61" t="s">
        <v>57</v>
      </c>
      <c r="M219" s="62" t="s">
        <v>63</v>
      </c>
    </row>
    <row r="220" ht="24.75" customHeight="1">
      <c r="A220" s="63" t="s">
        <v>598</v>
      </c>
      <c r="B220" s="41" t="s">
        <v>46</v>
      </c>
      <c r="C220" s="64" t="s">
        <v>596</v>
      </c>
      <c r="D220" s="84" t="s">
        <v>599</v>
      </c>
      <c r="E220" s="66">
        <v>230700.0</v>
      </c>
      <c r="F220" s="71" t="s">
        <v>571</v>
      </c>
      <c r="G220" s="47" t="s">
        <v>75</v>
      </c>
      <c r="H220" s="46" t="str">
        <f t="shared" si="4"/>
        <v>19-02</v>
      </c>
      <c r="I220" s="45"/>
      <c r="J220" s="45"/>
      <c r="K220" s="48" t="s">
        <v>50</v>
      </c>
      <c r="L220" s="68" t="s">
        <v>57</v>
      </c>
      <c r="M220" s="50" t="s">
        <v>63</v>
      </c>
    </row>
    <row r="221" ht="24.75" customHeight="1">
      <c r="A221" s="51" t="s">
        <v>600</v>
      </c>
      <c r="B221" s="52" t="s">
        <v>46</v>
      </c>
      <c r="C221" s="53" t="s">
        <v>596</v>
      </c>
      <c r="D221" s="83" t="s">
        <v>601</v>
      </c>
      <c r="E221" s="55">
        <v>368900.0</v>
      </c>
      <c r="F221" s="69" t="s">
        <v>571</v>
      </c>
      <c r="G221" s="57" t="s">
        <v>75</v>
      </c>
      <c r="H221" s="58" t="str">
        <f t="shared" si="4"/>
        <v>19-03</v>
      </c>
      <c r="I221" s="59"/>
      <c r="J221" s="59"/>
      <c r="K221" s="60" t="s">
        <v>50</v>
      </c>
      <c r="L221" s="61" t="s">
        <v>57</v>
      </c>
      <c r="M221" s="62" t="s">
        <v>63</v>
      </c>
    </row>
    <row r="222" ht="24.75" customHeight="1">
      <c r="A222" s="63" t="s">
        <v>602</v>
      </c>
      <c r="B222" s="41" t="s">
        <v>46</v>
      </c>
      <c r="C222" s="64" t="s">
        <v>596</v>
      </c>
      <c r="D222" s="84" t="s">
        <v>603</v>
      </c>
      <c r="E222" s="66">
        <v>415100.0</v>
      </c>
      <c r="F222" s="71" t="s">
        <v>571</v>
      </c>
      <c r="G222" s="47" t="s">
        <v>75</v>
      </c>
      <c r="H222" s="46" t="str">
        <f t="shared" si="4"/>
        <v>19-04</v>
      </c>
      <c r="I222" s="45"/>
      <c r="J222" s="45"/>
      <c r="K222" s="48" t="s">
        <v>50</v>
      </c>
      <c r="L222" s="68" t="s">
        <v>57</v>
      </c>
      <c r="M222" s="50" t="s">
        <v>63</v>
      </c>
    </row>
    <row r="223" ht="24.75" customHeight="1">
      <c r="A223" s="118" t="s">
        <v>604</v>
      </c>
      <c r="B223" s="52" t="s">
        <v>46</v>
      </c>
      <c r="C223" s="119"/>
      <c r="D223" s="125" t="s">
        <v>605</v>
      </c>
      <c r="E223" s="120" t="s">
        <v>47</v>
      </c>
      <c r="F223" s="121" t="s">
        <v>37</v>
      </c>
      <c r="G223" s="57"/>
      <c r="H223" s="58" t="str">
        <f t="shared" si="4"/>
        <v>20-00</v>
      </c>
      <c r="I223" s="59"/>
      <c r="J223" s="59"/>
      <c r="K223" s="60" t="s">
        <v>50</v>
      </c>
      <c r="L223" s="122"/>
      <c r="M223" s="62" t="s">
        <v>63</v>
      </c>
    </row>
    <row r="224" ht="24.75" customHeight="1">
      <c r="A224" s="63" t="s">
        <v>606</v>
      </c>
      <c r="B224" s="41" t="s">
        <v>46</v>
      </c>
      <c r="C224" s="64" t="s">
        <v>607</v>
      </c>
      <c r="D224" s="84" t="s">
        <v>608</v>
      </c>
      <c r="E224" s="66">
        <v>1200.0</v>
      </c>
      <c r="F224" s="71" t="s">
        <v>571</v>
      </c>
      <c r="G224" s="47" t="s">
        <v>75</v>
      </c>
      <c r="H224" s="46" t="str">
        <f t="shared" si="4"/>
        <v>20-01</v>
      </c>
      <c r="I224" s="45"/>
      <c r="J224" s="45"/>
      <c r="K224" s="48" t="s">
        <v>50</v>
      </c>
      <c r="L224" s="68" t="s">
        <v>57</v>
      </c>
      <c r="M224" s="50" t="s">
        <v>63</v>
      </c>
    </row>
    <row r="225" ht="24.75" customHeight="1">
      <c r="A225" s="51" t="s">
        <v>609</v>
      </c>
      <c r="B225" s="52" t="s">
        <v>46</v>
      </c>
      <c r="C225" s="53" t="s">
        <v>607</v>
      </c>
      <c r="D225" s="83" t="s">
        <v>610</v>
      </c>
      <c r="E225" s="55">
        <v>5700.0</v>
      </c>
      <c r="F225" s="69" t="s">
        <v>571</v>
      </c>
      <c r="G225" s="57" t="s">
        <v>75</v>
      </c>
      <c r="H225" s="58" t="str">
        <f t="shared" si="4"/>
        <v>20-02</v>
      </c>
      <c r="I225" s="59"/>
      <c r="J225" s="59"/>
      <c r="K225" s="60" t="s">
        <v>50</v>
      </c>
      <c r="L225" s="61" t="s">
        <v>57</v>
      </c>
      <c r="M225" s="62" t="s">
        <v>63</v>
      </c>
    </row>
    <row r="226" ht="24.75" customHeight="1">
      <c r="A226" s="63" t="s">
        <v>611</v>
      </c>
      <c r="B226" s="41" t="s">
        <v>46</v>
      </c>
      <c r="C226" s="64" t="s">
        <v>607</v>
      </c>
      <c r="D226" s="84" t="s">
        <v>612</v>
      </c>
      <c r="E226" s="66">
        <v>8900.0</v>
      </c>
      <c r="F226" s="71" t="s">
        <v>571</v>
      </c>
      <c r="G226" s="47" t="s">
        <v>75</v>
      </c>
      <c r="H226" s="46" t="str">
        <f t="shared" si="4"/>
        <v>20-03</v>
      </c>
      <c r="I226" s="45"/>
      <c r="J226" s="45"/>
      <c r="K226" s="48" t="s">
        <v>50</v>
      </c>
      <c r="L226" s="68" t="s">
        <v>57</v>
      </c>
      <c r="M226" s="50" t="s">
        <v>63</v>
      </c>
    </row>
    <row r="227" ht="24.75" customHeight="1">
      <c r="A227" s="51" t="s">
        <v>613</v>
      </c>
      <c r="B227" s="52" t="s">
        <v>46</v>
      </c>
      <c r="C227" s="53" t="s">
        <v>607</v>
      </c>
      <c r="D227" s="83" t="s">
        <v>614</v>
      </c>
      <c r="E227" s="55">
        <v>5600.0</v>
      </c>
      <c r="F227" s="69" t="s">
        <v>571</v>
      </c>
      <c r="G227" s="57" t="s">
        <v>75</v>
      </c>
      <c r="H227" s="58" t="str">
        <f t="shared" si="4"/>
        <v>20-04</v>
      </c>
      <c r="I227" s="59"/>
      <c r="J227" s="59"/>
      <c r="K227" s="60" t="s">
        <v>50</v>
      </c>
      <c r="L227" s="61" t="s">
        <v>57</v>
      </c>
      <c r="M227" s="62" t="s">
        <v>63</v>
      </c>
    </row>
    <row r="228" ht="24.75" customHeight="1">
      <c r="A228" s="63" t="s">
        <v>615</v>
      </c>
      <c r="B228" s="41" t="s">
        <v>46</v>
      </c>
      <c r="C228" s="64" t="s">
        <v>607</v>
      </c>
      <c r="D228" s="84" t="s">
        <v>616</v>
      </c>
      <c r="E228" s="66">
        <v>5900.0</v>
      </c>
      <c r="F228" s="71" t="s">
        <v>571</v>
      </c>
      <c r="G228" s="47" t="s">
        <v>75</v>
      </c>
      <c r="H228" s="46" t="str">
        <f t="shared" si="4"/>
        <v>20-05</v>
      </c>
      <c r="I228" s="45"/>
      <c r="J228" s="45"/>
      <c r="K228" s="48" t="s">
        <v>50</v>
      </c>
      <c r="L228" s="68" t="s">
        <v>57</v>
      </c>
      <c r="M228" s="50" t="s">
        <v>63</v>
      </c>
    </row>
    <row r="229" ht="24.75" customHeight="1">
      <c r="A229" s="51" t="s">
        <v>617</v>
      </c>
      <c r="B229" s="52" t="s">
        <v>46</v>
      </c>
      <c r="C229" s="53" t="s">
        <v>607</v>
      </c>
      <c r="D229" s="83" t="s">
        <v>618</v>
      </c>
      <c r="E229" s="55">
        <v>6800.0</v>
      </c>
      <c r="F229" s="69" t="s">
        <v>571</v>
      </c>
      <c r="G229" s="57" t="s">
        <v>75</v>
      </c>
      <c r="H229" s="58" t="str">
        <f t="shared" si="4"/>
        <v>20-06</v>
      </c>
      <c r="I229" s="59"/>
      <c r="J229" s="59"/>
      <c r="K229" s="60" t="s">
        <v>50</v>
      </c>
      <c r="L229" s="61" t="s">
        <v>57</v>
      </c>
      <c r="M229" s="62" t="s">
        <v>63</v>
      </c>
    </row>
    <row r="230" ht="24.75" customHeight="1">
      <c r="A230" s="63" t="s">
        <v>619</v>
      </c>
      <c r="B230" s="41" t="s">
        <v>46</v>
      </c>
      <c r="C230" s="64" t="s">
        <v>607</v>
      </c>
      <c r="D230" s="84" t="s">
        <v>620</v>
      </c>
      <c r="E230" s="66">
        <v>31300.0</v>
      </c>
      <c r="F230" s="71" t="s">
        <v>571</v>
      </c>
      <c r="G230" s="47" t="s">
        <v>75</v>
      </c>
      <c r="H230" s="46" t="str">
        <f t="shared" si="4"/>
        <v>20-07</v>
      </c>
      <c r="I230" s="45"/>
      <c r="J230" s="45"/>
      <c r="K230" s="48" t="s">
        <v>50</v>
      </c>
      <c r="L230" s="68" t="s">
        <v>57</v>
      </c>
      <c r="M230" s="50" t="s">
        <v>63</v>
      </c>
    </row>
    <row r="231" ht="24.75" customHeight="1">
      <c r="A231" s="51" t="s">
        <v>621</v>
      </c>
      <c r="B231" s="52" t="s">
        <v>46</v>
      </c>
      <c r="C231" s="53" t="s">
        <v>607</v>
      </c>
      <c r="D231" s="83" t="s">
        <v>622</v>
      </c>
      <c r="E231" s="55">
        <v>32500.0</v>
      </c>
      <c r="F231" s="69" t="s">
        <v>571</v>
      </c>
      <c r="G231" s="57" t="s">
        <v>75</v>
      </c>
      <c r="H231" s="58" t="str">
        <f t="shared" si="4"/>
        <v>20-08</v>
      </c>
      <c r="I231" s="59"/>
      <c r="J231" s="59"/>
      <c r="K231" s="60" t="s">
        <v>50</v>
      </c>
      <c r="L231" s="61" t="s">
        <v>57</v>
      </c>
      <c r="M231" s="62" t="s">
        <v>63</v>
      </c>
    </row>
    <row r="232" ht="24.75" customHeight="1">
      <c r="A232" s="40" t="s">
        <v>623</v>
      </c>
      <c r="B232" s="41" t="s">
        <v>46</v>
      </c>
      <c r="C232" s="42"/>
      <c r="D232" s="125" t="s">
        <v>624</v>
      </c>
      <c r="E232" s="44" t="s">
        <v>47</v>
      </c>
      <c r="F232" s="43" t="s">
        <v>37</v>
      </c>
      <c r="G232" s="45"/>
      <c r="H232" s="46" t="str">
        <f t="shared" si="4"/>
        <v>21-00</v>
      </c>
      <c r="I232" s="45"/>
      <c r="J232" s="45"/>
      <c r="K232" s="48" t="s">
        <v>50</v>
      </c>
      <c r="L232" s="49"/>
      <c r="M232" s="50" t="s">
        <v>63</v>
      </c>
    </row>
    <row r="233" ht="27.0" customHeight="1">
      <c r="A233" s="51" t="s">
        <v>625</v>
      </c>
      <c r="B233" s="52" t="s">
        <v>46</v>
      </c>
      <c r="C233" s="53" t="s">
        <v>626</v>
      </c>
      <c r="D233" s="83" t="s">
        <v>627</v>
      </c>
      <c r="E233" s="55">
        <v>71700.0</v>
      </c>
      <c r="F233" s="69" t="s">
        <v>628</v>
      </c>
      <c r="G233" s="57" t="s">
        <v>75</v>
      </c>
      <c r="H233" s="58" t="str">
        <f t="shared" si="4"/>
        <v>21-01</v>
      </c>
      <c r="I233" s="59"/>
      <c r="J233" s="59"/>
      <c r="K233" s="60" t="s">
        <v>50</v>
      </c>
      <c r="L233" s="61" t="s">
        <v>57</v>
      </c>
      <c r="M233" s="62" t="s">
        <v>63</v>
      </c>
    </row>
    <row r="234" ht="27.0" customHeight="1">
      <c r="A234" s="63" t="s">
        <v>629</v>
      </c>
      <c r="B234" s="41" t="s">
        <v>46</v>
      </c>
      <c r="C234" s="64" t="s">
        <v>626</v>
      </c>
      <c r="D234" s="84" t="s">
        <v>630</v>
      </c>
      <c r="E234" s="66">
        <v>77600.0</v>
      </c>
      <c r="F234" s="71" t="s">
        <v>628</v>
      </c>
      <c r="G234" s="47" t="s">
        <v>75</v>
      </c>
      <c r="H234" s="46" t="str">
        <f t="shared" si="4"/>
        <v>21-02</v>
      </c>
      <c r="I234" s="45"/>
      <c r="J234" s="45"/>
      <c r="K234" s="48" t="s">
        <v>50</v>
      </c>
      <c r="L234" s="68" t="s">
        <v>57</v>
      </c>
      <c r="M234" s="50" t="s">
        <v>63</v>
      </c>
    </row>
    <row r="235" ht="27.0" customHeight="1">
      <c r="A235" s="51" t="s">
        <v>631</v>
      </c>
      <c r="B235" s="52" t="s">
        <v>46</v>
      </c>
      <c r="C235" s="53" t="s">
        <v>626</v>
      </c>
      <c r="D235" s="83" t="s">
        <v>632</v>
      </c>
      <c r="E235" s="55">
        <v>71700.0</v>
      </c>
      <c r="F235" s="69" t="s">
        <v>628</v>
      </c>
      <c r="G235" s="57" t="s">
        <v>75</v>
      </c>
      <c r="H235" s="58" t="str">
        <f t="shared" si="4"/>
        <v>21-03</v>
      </c>
      <c r="I235" s="59"/>
      <c r="J235" s="59"/>
      <c r="K235" s="60" t="s">
        <v>50</v>
      </c>
      <c r="L235" s="61" t="s">
        <v>57</v>
      </c>
      <c r="M235" s="62" t="s">
        <v>63</v>
      </c>
    </row>
    <row r="236" ht="27.0" customHeight="1">
      <c r="A236" s="63" t="s">
        <v>633</v>
      </c>
      <c r="B236" s="41" t="s">
        <v>46</v>
      </c>
      <c r="C236" s="64" t="s">
        <v>626</v>
      </c>
      <c r="D236" s="84" t="s">
        <v>634</v>
      </c>
      <c r="E236" s="66">
        <v>77600.0</v>
      </c>
      <c r="F236" s="71" t="s">
        <v>628</v>
      </c>
      <c r="G236" s="45" t="s">
        <v>55</v>
      </c>
      <c r="H236" s="46" t="str">
        <f t="shared" si="4"/>
        <v>21-04</v>
      </c>
      <c r="I236" s="45"/>
      <c r="J236" s="45"/>
      <c r="K236" s="48" t="s">
        <v>50</v>
      </c>
      <c r="L236" s="68" t="s">
        <v>57</v>
      </c>
      <c r="M236" s="50" t="s">
        <v>63</v>
      </c>
    </row>
    <row r="237" ht="27.0" customHeight="1">
      <c r="A237" s="51" t="s">
        <v>635</v>
      </c>
      <c r="B237" s="52" t="s">
        <v>46</v>
      </c>
      <c r="C237" s="53" t="s">
        <v>626</v>
      </c>
      <c r="D237" s="83" t="s">
        <v>636</v>
      </c>
      <c r="E237" s="55">
        <v>66000.0</v>
      </c>
      <c r="F237" s="69" t="s">
        <v>628</v>
      </c>
      <c r="G237" s="59" t="s">
        <v>55</v>
      </c>
      <c r="H237" s="58" t="str">
        <f t="shared" si="4"/>
        <v>21-05</v>
      </c>
      <c r="I237" s="59"/>
      <c r="J237" s="59"/>
      <c r="K237" s="60" t="s">
        <v>50</v>
      </c>
      <c r="L237" s="61" t="s">
        <v>57</v>
      </c>
      <c r="M237" s="62" t="s">
        <v>63</v>
      </c>
    </row>
    <row r="238" ht="27.0" customHeight="1">
      <c r="A238" s="63" t="s">
        <v>637</v>
      </c>
      <c r="B238" s="41" t="s">
        <v>46</v>
      </c>
      <c r="C238" s="64" t="s">
        <v>626</v>
      </c>
      <c r="D238" s="84" t="s">
        <v>638</v>
      </c>
      <c r="E238" s="66">
        <v>71000.0</v>
      </c>
      <c r="F238" s="71" t="s">
        <v>628</v>
      </c>
      <c r="G238" s="45" t="s">
        <v>55</v>
      </c>
      <c r="H238" s="46" t="str">
        <f t="shared" si="4"/>
        <v>21-06</v>
      </c>
      <c r="I238" s="45"/>
      <c r="J238" s="45"/>
      <c r="K238" s="48" t="s">
        <v>50</v>
      </c>
      <c r="L238" s="68" t="s">
        <v>57</v>
      </c>
      <c r="M238" s="50" t="s">
        <v>63</v>
      </c>
    </row>
    <row r="239" ht="27.0" customHeight="1">
      <c r="A239" s="51" t="s">
        <v>639</v>
      </c>
      <c r="B239" s="52" t="s">
        <v>46</v>
      </c>
      <c r="C239" s="53" t="s">
        <v>626</v>
      </c>
      <c r="D239" s="83" t="s">
        <v>640</v>
      </c>
      <c r="E239" s="55">
        <v>66000.0</v>
      </c>
      <c r="F239" s="69" t="s">
        <v>628</v>
      </c>
      <c r="G239" s="59" t="s">
        <v>55</v>
      </c>
      <c r="H239" s="58" t="str">
        <f t="shared" si="4"/>
        <v>21-07</v>
      </c>
      <c r="I239" s="59"/>
      <c r="J239" s="59"/>
      <c r="K239" s="60" t="s">
        <v>50</v>
      </c>
      <c r="L239" s="61" t="s">
        <v>57</v>
      </c>
      <c r="M239" s="62" t="s">
        <v>63</v>
      </c>
    </row>
    <row r="240" ht="27.0" customHeight="1">
      <c r="A240" s="63" t="s">
        <v>641</v>
      </c>
      <c r="B240" s="41" t="s">
        <v>46</v>
      </c>
      <c r="C240" s="64" t="s">
        <v>626</v>
      </c>
      <c r="D240" s="84" t="s">
        <v>642</v>
      </c>
      <c r="E240" s="66">
        <v>76200.0</v>
      </c>
      <c r="F240" s="71" t="s">
        <v>628</v>
      </c>
      <c r="G240" s="45" t="s">
        <v>55</v>
      </c>
      <c r="H240" s="46" t="str">
        <f t="shared" si="4"/>
        <v>21-08</v>
      </c>
      <c r="I240" s="45"/>
      <c r="J240" s="45"/>
      <c r="K240" s="48" t="s">
        <v>50</v>
      </c>
      <c r="L240" s="68" t="s">
        <v>57</v>
      </c>
      <c r="M240" s="50" t="s">
        <v>63</v>
      </c>
    </row>
    <row r="241" ht="27.0" customHeight="1">
      <c r="A241" s="51" t="s">
        <v>643</v>
      </c>
      <c r="B241" s="52" t="s">
        <v>46</v>
      </c>
      <c r="C241" s="53" t="s">
        <v>626</v>
      </c>
      <c r="D241" s="83" t="s">
        <v>644</v>
      </c>
      <c r="E241" s="55">
        <v>55900.0</v>
      </c>
      <c r="F241" s="69" t="s">
        <v>628</v>
      </c>
      <c r="G241" s="59" t="s">
        <v>55</v>
      </c>
      <c r="H241" s="58" t="str">
        <f t="shared" si="4"/>
        <v>21-09</v>
      </c>
      <c r="I241" s="59"/>
      <c r="J241" s="59"/>
      <c r="K241" s="60" t="s">
        <v>50</v>
      </c>
      <c r="L241" s="61" t="s">
        <v>57</v>
      </c>
      <c r="M241" s="62" t="s">
        <v>63</v>
      </c>
    </row>
    <row r="242" ht="27.0" customHeight="1">
      <c r="A242" s="63" t="s">
        <v>645</v>
      </c>
      <c r="B242" s="41" t="s">
        <v>46</v>
      </c>
      <c r="C242" s="64" t="s">
        <v>626</v>
      </c>
      <c r="D242" s="84" t="s">
        <v>646</v>
      </c>
      <c r="E242" s="66">
        <v>63200.0</v>
      </c>
      <c r="F242" s="71" t="s">
        <v>628</v>
      </c>
      <c r="G242" s="45" t="s">
        <v>55</v>
      </c>
      <c r="H242" s="46" t="str">
        <f t="shared" si="4"/>
        <v>21-10</v>
      </c>
      <c r="I242" s="45"/>
      <c r="J242" s="45"/>
      <c r="K242" s="48" t="s">
        <v>50</v>
      </c>
      <c r="L242" s="68" t="s">
        <v>57</v>
      </c>
      <c r="M242" s="50" t="s">
        <v>63</v>
      </c>
    </row>
    <row r="243" ht="27.0" customHeight="1">
      <c r="A243" s="51" t="s">
        <v>647</v>
      </c>
      <c r="B243" s="52" t="s">
        <v>46</v>
      </c>
      <c r="C243" s="53" t="s">
        <v>626</v>
      </c>
      <c r="D243" s="83" t="s">
        <v>648</v>
      </c>
      <c r="E243" s="55">
        <v>57300.0</v>
      </c>
      <c r="F243" s="69" t="s">
        <v>628</v>
      </c>
      <c r="G243" s="59" t="s">
        <v>55</v>
      </c>
      <c r="H243" s="58" t="str">
        <f t="shared" si="4"/>
        <v>21-11</v>
      </c>
      <c r="I243" s="59"/>
      <c r="J243" s="59"/>
      <c r="K243" s="60" t="s">
        <v>50</v>
      </c>
      <c r="L243" s="61" t="s">
        <v>57</v>
      </c>
      <c r="M243" s="62" t="s">
        <v>63</v>
      </c>
    </row>
    <row r="244" ht="27.0" customHeight="1">
      <c r="A244" s="63" t="s">
        <v>649</v>
      </c>
      <c r="B244" s="41" t="s">
        <v>46</v>
      </c>
      <c r="C244" s="64" t="s">
        <v>626</v>
      </c>
      <c r="D244" s="84" t="s">
        <v>650</v>
      </c>
      <c r="E244" s="66">
        <v>63200.0</v>
      </c>
      <c r="F244" s="71" t="s">
        <v>628</v>
      </c>
      <c r="G244" s="45" t="s">
        <v>55</v>
      </c>
      <c r="H244" s="46" t="str">
        <f t="shared" si="4"/>
        <v>21-12</v>
      </c>
      <c r="I244" s="45"/>
      <c r="J244" s="45"/>
      <c r="K244" s="48" t="s">
        <v>50</v>
      </c>
      <c r="L244" s="68" t="s">
        <v>57</v>
      </c>
      <c r="M244" s="50" t="s">
        <v>63</v>
      </c>
    </row>
    <row r="245" ht="27.0" customHeight="1">
      <c r="A245" s="51" t="s">
        <v>651</v>
      </c>
      <c r="B245" s="52" t="s">
        <v>46</v>
      </c>
      <c r="C245" s="53" t="s">
        <v>626</v>
      </c>
      <c r="D245" s="83" t="s">
        <v>652</v>
      </c>
      <c r="E245" s="55">
        <v>48600.0</v>
      </c>
      <c r="F245" s="69" t="s">
        <v>628</v>
      </c>
      <c r="G245" s="59" t="s">
        <v>55</v>
      </c>
      <c r="H245" s="58" t="str">
        <f t="shared" si="4"/>
        <v>21-13</v>
      </c>
      <c r="I245" s="59"/>
      <c r="J245" s="59"/>
      <c r="K245" s="60" t="s">
        <v>50</v>
      </c>
      <c r="L245" s="61" t="s">
        <v>57</v>
      </c>
      <c r="M245" s="62" t="s">
        <v>63</v>
      </c>
    </row>
    <row r="246" ht="27.0" customHeight="1">
      <c r="A246" s="63" t="s">
        <v>653</v>
      </c>
      <c r="B246" s="41" t="s">
        <v>46</v>
      </c>
      <c r="C246" s="64" t="s">
        <v>626</v>
      </c>
      <c r="D246" s="84" t="s">
        <v>654</v>
      </c>
      <c r="E246" s="66">
        <v>53600.0</v>
      </c>
      <c r="F246" s="71" t="s">
        <v>628</v>
      </c>
      <c r="G246" s="45" t="s">
        <v>55</v>
      </c>
      <c r="H246" s="46" t="str">
        <f t="shared" si="4"/>
        <v>21-14</v>
      </c>
      <c r="I246" s="45"/>
      <c r="J246" s="45"/>
      <c r="K246" s="48" t="s">
        <v>50</v>
      </c>
      <c r="L246" s="68" t="s">
        <v>57</v>
      </c>
      <c r="M246" s="50" t="s">
        <v>63</v>
      </c>
    </row>
    <row r="247" ht="27.0" customHeight="1">
      <c r="A247" s="51" t="s">
        <v>655</v>
      </c>
      <c r="B247" s="52" t="s">
        <v>46</v>
      </c>
      <c r="C247" s="53" t="s">
        <v>626</v>
      </c>
      <c r="D247" s="83" t="s">
        <v>656</v>
      </c>
      <c r="E247" s="55">
        <v>48600.0</v>
      </c>
      <c r="F247" s="69" t="s">
        <v>628</v>
      </c>
      <c r="G247" s="59" t="s">
        <v>55</v>
      </c>
      <c r="H247" s="58" t="str">
        <f t="shared" si="4"/>
        <v>21-15</v>
      </c>
      <c r="I247" s="59"/>
      <c r="J247" s="59"/>
      <c r="K247" s="60" t="s">
        <v>50</v>
      </c>
      <c r="L247" s="61" t="s">
        <v>57</v>
      </c>
      <c r="M247" s="62" t="s">
        <v>63</v>
      </c>
    </row>
    <row r="248" ht="27.0" customHeight="1">
      <c r="A248" s="63" t="s">
        <v>657</v>
      </c>
      <c r="B248" s="41" t="s">
        <v>46</v>
      </c>
      <c r="C248" s="64" t="s">
        <v>626</v>
      </c>
      <c r="D248" s="84" t="s">
        <v>658</v>
      </c>
      <c r="E248" s="66">
        <v>58800.0</v>
      </c>
      <c r="F248" s="71" t="s">
        <v>628</v>
      </c>
      <c r="G248" s="45" t="s">
        <v>55</v>
      </c>
      <c r="H248" s="46" t="str">
        <f t="shared" si="4"/>
        <v>21-16</v>
      </c>
      <c r="I248" s="45"/>
      <c r="J248" s="45"/>
      <c r="K248" s="48" t="s">
        <v>50</v>
      </c>
      <c r="L248" s="68" t="s">
        <v>57</v>
      </c>
      <c r="M248" s="50" t="s">
        <v>63</v>
      </c>
    </row>
    <row r="249" ht="27.0" customHeight="1">
      <c r="A249" s="118" t="s">
        <v>659</v>
      </c>
      <c r="B249" s="52" t="s">
        <v>46</v>
      </c>
      <c r="C249" s="119"/>
      <c r="D249" s="125" t="s">
        <v>660</v>
      </c>
      <c r="E249" s="120" t="s">
        <v>47</v>
      </c>
      <c r="F249" s="121" t="s">
        <v>37</v>
      </c>
      <c r="G249" s="59" t="s">
        <v>55</v>
      </c>
      <c r="H249" s="58" t="str">
        <f t="shared" si="4"/>
        <v>22-00</v>
      </c>
      <c r="I249" s="59"/>
      <c r="J249" s="59"/>
      <c r="K249" s="60" t="s">
        <v>50</v>
      </c>
      <c r="L249" s="122"/>
      <c r="M249" s="62" t="s">
        <v>63</v>
      </c>
    </row>
    <row r="250" ht="27.0" customHeight="1">
      <c r="A250" s="63" t="s">
        <v>661</v>
      </c>
      <c r="B250" s="41" t="s">
        <v>46</v>
      </c>
      <c r="C250" s="64" t="s">
        <v>662</v>
      </c>
      <c r="D250" s="84" t="s">
        <v>627</v>
      </c>
      <c r="E250" s="66">
        <v>66200.0</v>
      </c>
      <c r="F250" s="71" t="s">
        <v>663</v>
      </c>
      <c r="G250" s="45" t="s">
        <v>55</v>
      </c>
      <c r="H250" s="46" t="str">
        <f t="shared" si="4"/>
        <v>22-01</v>
      </c>
      <c r="I250" s="45"/>
      <c r="J250" s="45"/>
      <c r="K250" s="48" t="s">
        <v>50</v>
      </c>
      <c r="L250" s="68" t="s">
        <v>57</v>
      </c>
      <c r="M250" s="50" t="s">
        <v>63</v>
      </c>
    </row>
    <row r="251" ht="27.0" customHeight="1">
      <c r="A251" s="51" t="s">
        <v>664</v>
      </c>
      <c r="B251" s="52" t="s">
        <v>46</v>
      </c>
      <c r="C251" s="53" t="s">
        <v>662</v>
      </c>
      <c r="D251" s="83" t="s">
        <v>665</v>
      </c>
      <c r="E251" s="55">
        <v>72100.0</v>
      </c>
      <c r="F251" s="69" t="s">
        <v>663</v>
      </c>
      <c r="G251" s="59" t="s">
        <v>55</v>
      </c>
      <c r="H251" s="58" t="str">
        <f t="shared" si="4"/>
        <v>22-02</v>
      </c>
      <c r="I251" s="59"/>
      <c r="J251" s="59"/>
      <c r="K251" s="60" t="s">
        <v>50</v>
      </c>
      <c r="L251" s="61" t="s">
        <v>57</v>
      </c>
      <c r="M251" s="62" t="s">
        <v>63</v>
      </c>
    </row>
    <row r="252" ht="27.0" customHeight="1">
      <c r="A252" s="63" t="s">
        <v>666</v>
      </c>
      <c r="B252" s="41" t="s">
        <v>46</v>
      </c>
      <c r="C252" s="64" t="s">
        <v>662</v>
      </c>
      <c r="D252" s="84" t="s">
        <v>632</v>
      </c>
      <c r="E252" s="66">
        <v>66200.0</v>
      </c>
      <c r="F252" s="71" t="s">
        <v>663</v>
      </c>
      <c r="G252" s="45" t="s">
        <v>55</v>
      </c>
      <c r="H252" s="46" t="str">
        <f t="shared" si="4"/>
        <v>22-03</v>
      </c>
      <c r="I252" s="45"/>
      <c r="J252" s="45"/>
      <c r="K252" s="48" t="s">
        <v>50</v>
      </c>
      <c r="L252" s="68" t="s">
        <v>57</v>
      </c>
      <c r="M252" s="50" t="s">
        <v>63</v>
      </c>
    </row>
    <row r="253" ht="27.0" customHeight="1">
      <c r="A253" s="51" t="s">
        <v>667</v>
      </c>
      <c r="B253" s="52" t="s">
        <v>46</v>
      </c>
      <c r="C253" s="53" t="s">
        <v>662</v>
      </c>
      <c r="D253" s="83" t="s">
        <v>634</v>
      </c>
      <c r="E253" s="55">
        <v>75000.0</v>
      </c>
      <c r="F253" s="69" t="s">
        <v>663</v>
      </c>
      <c r="G253" s="59" t="s">
        <v>55</v>
      </c>
      <c r="H253" s="58" t="str">
        <f t="shared" si="4"/>
        <v>22-04</v>
      </c>
      <c r="I253" s="59"/>
      <c r="J253" s="59"/>
      <c r="K253" s="60" t="s">
        <v>50</v>
      </c>
      <c r="L253" s="61" t="s">
        <v>57</v>
      </c>
      <c r="M253" s="62" t="s">
        <v>63</v>
      </c>
    </row>
    <row r="254" ht="27.0" customHeight="1">
      <c r="A254" s="63" t="s">
        <v>668</v>
      </c>
      <c r="B254" s="41" t="s">
        <v>46</v>
      </c>
      <c r="C254" s="64" t="s">
        <v>662</v>
      </c>
      <c r="D254" s="84" t="s">
        <v>636</v>
      </c>
      <c r="E254" s="66">
        <v>59700.0</v>
      </c>
      <c r="F254" s="71" t="s">
        <v>663</v>
      </c>
      <c r="G254" s="45" t="s">
        <v>55</v>
      </c>
      <c r="H254" s="46" t="str">
        <f t="shared" si="4"/>
        <v>22-05</v>
      </c>
      <c r="I254" s="45"/>
      <c r="J254" s="45"/>
      <c r="K254" s="48" t="s">
        <v>50</v>
      </c>
      <c r="L254" s="68" t="s">
        <v>57</v>
      </c>
      <c r="M254" s="50" t="s">
        <v>63</v>
      </c>
    </row>
    <row r="255" ht="27.0" customHeight="1">
      <c r="A255" s="51" t="s">
        <v>669</v>
      </c>
      <c r="B255" s="52" t="s">
        <v>46</v>
      </c>
      <c r="C255" s="53" t="s">
        <v>662</v>
      </c>
      <c r="D255" s="83" t="s">
        <v>670</v>
      </c>
      <c r="E255" s="55">
        <v>64800.0</v>
      </c>
      <c r="F255" s="69" t="s">
        <v>663</v>
      </c>
      <c r="G255" s="59" t="s">
        <v>55</v>
      </c>
      <c r="H255" s="58" t="str">
        <f t="shared" si="4"/>
        <v>22-06</v>
      </c>
      <c r="I255" s="59"/>
      <c r="J255" s="59"/>
      <c r="K255" s="60" t="s">
        <v>50</v>
      </c>
      <c r="L255" s="61" t="s">
        <v>57</v>
      </c>
      <c r="M255" s="62" t="s">
        <v>63</v>
      </c>
    </row>
    <row r="256" ht="27.0" customHeight="1">
      <c r="A256" s="63" t="s">
        <v>671</v>
      </c>
      <c r="B256" s="41" t="s">
        <v>46</v>
      </c>
      <c r="C256" s="64" t="s">
        <v>662</v>
      </c>
      <c r="D256" s="84" t="s">
        <v>640</v>
      </c>
      <c r="E256" s="66">
        <v>59700.0</v>
      </c>
      <c r="F256" s="71" t="s">
        <v>663</v>
      </c>
      <c r="G256" s="45" t="s">
        <v>55</v>
      </c>
      <c r="H256" s="46" t="str">
        <f t="shared" si="4"/>
        <v>22-07</v>
      </c>
      <c r="I256" s="45"/>
      <c r="J256" s="45"/>
      <c r="K256" s="48" t="s">
        <v>50</v>
      </c>
      <c r="L256" s="68" t="s">
        <v>57</v>
      </c>
      <c r="M256" s="50" t="s">
        <v>63</v>
      </c>
    </row>
    <row r="257" ht="27.0" customHeight="1">
      <c r="A257" s="51" t="s">
        <v>672</v>
      </c>
      <c r="B257" s="52" t="s">
        <v>46</v>
      </c>
      <c r="C257" s="53" t="s">
        <v>662</v>
      </c>
      <c r="D257" s="83" t="s">
        <v>642</v>
      </c>
      <c r="E257" s="55">
        <v>67000.0</v>
      </c>
      <c r="F257" s="69" t="s">
        <v>663</v>
      </c>
      <c r="G257" s="59" t="s">
        <v>55</v>
      </c>
      <c r="H257" s="58" t="str">
        <f t="shared" si="4"/>
        <v>22-08</v>
      </c>
      <c r="I257" s="59"/>
      <c r="J257" s="59"/>
      <c r="K257" s="60" t="s">
        <v>50</v>
      </c>
      <c r="L257" s="61" t="s">
        <v>57</v>
      </c>
      <c r="M257" s="62" t="s">
        <v>63</v>
      </c>
    </row>
    <row r="258" ht="27.0" customHeight="1">
      <c r="A258" s="63" t="s">
        <v>673</v>
      </c>
      <c r="B258" s="41" t="s">
        <v>46</v>
      </c>
      <c r="C258" s="64" t="s">
        <v>662</v>
      </c>
      <c r="D258" s="84" t="s">
        <v>674</v>
      </c>
      <c r="E258" s="66">
        <v>62800.0</v>
      </c>
      <c r="F258" s="71" t="s">
        <v>663</v>
      </c>
      <c r="G258" s="45" t="s">
        <v>55</v>
      </c>
      <c r="H258" s="46" t="str">
        <f t="shared" si="4"/>
        <v>22-09</v>
      </c>
      <c r="I258" s="45"/>
      <c r="J258" s="45"/>
      <c r="K258" s="48" t="s">
        <v>50</v>
      </c>
      <c r="L258" s="68" t="s">
        <v>57</v>
      </c>
      <c r="M258" s="50" t="s">
        <v>63</v>
      </c>
    </row>
    <row r="259" ht="27.0" customHeight="1">
      <c r="A259" s="51" t="s">
        <v>675</v>
      </c>
      <c r="B259" s="52" t="s">
        <v>46</v>
      </c>
      <c r="C259" s="53" t="s">
        <v>662</v>
      </c>
      <c r="D259" s="83" t="s">
        <v>676</v>
      </c>
      <c r="E259" s="55">
        <v>68600.0</v>
      </c>
      <c r="F259" s="69" t="s">
        <v>663</v>
      </c>
      <c r="G259" s="59" t="s">
        <v>55</v>
      </c>
      <c r="H259" s="58" t="str">
        <f t="shared" si="4"/>
        <v>22-10</v>
      </c>
      <c r="I259" s="59"/>
      <c r="J259" s="59"/>
      <c r="K259" s="60" t="s">
        <v>50</v>
      </c>
      <c r="L259" s="61" t="s">
        <v>57</v>
      </c>
      <c r="M259" s="62" t="s">
        <v>63</v>
      </c>
    </row>
    <row r="260" ht="27.0" customHeight="1">
      <c r="A260" s="63" t="s">
        <v>677</v>
      </c>
      <c r="B260" s="41" t="s">
        <v>46</v>
      </c>
      <c r="C260" s="64" t="s">
        <v>662</v>
      </c>
      <c r="D260" s="84" t="s">
        <v>678</v>
      </c>
      <c r="E260" s="66">
        <v>62800.0</v>
      </c>
      <c r="F260" s="71" t="s">
        <v>663</v>
      </c>
      <c r="G260" s="45" t="s">
        <v>55</v>
      </c>
      <c r="H260" s="46" t="str">
        <f t="shared" si="4"/>
        <v>22-11</v>
      </c>
      <c r="I260" s="45"/>
      <c r="J260" s="45"/>
      <c r="K260" s="48" t="s">
        <v>50</v>
      </c>
      <c r="L260" s="68" t="s">
        <v>57</v>
      </c>
      <c r="M260" s="50" t="s">
        <v>63</v>
      </c>
    </row>
    <row r="261" ht="27.0" customHeight="1">
      <c r="A261" s="51" t="s">
        <v>679</v>
      </c>
      <c r="B261" s="52" t="s">
        <v>46</v>
      </c>
      <c r="C261" s="53" t="s">
        <v>662</v>
      </c>
      <c r="D261" s="83" t="s">
        <v>680</v>
      </c>
      <c r="E261" s="55">
        <v>68600.0</v>
      </c>
      <c r="F261" s="69" t="s">
        <v>663</v>
      </c>
      <c r="G261" s="59" t="s">
        <v>55</v>
      </c>
      <c r="H261" s="58" t="str">
        <f t="shared" si="4"/>
        <v>22-12</v>
      </c>
      <c r="I261" s="59"/>
      <c r="J261" s="59"/>
      <c r="K261" s="60" t="s">
        <v>50</v>
      </c>
      <c r="L261" s="61" t="s">
        <v>57</v>
      </c>
      <c r="M261" s="62" t="s">
        <v>63</v>
      </c>
    </row>
    <row r="262" ht="27.0" customHeight="1">
      <c r="A262" s="63" t="s">
        <v>681</v>
      </c>
      <c r="B262" s="41" t="s">
        <v>46</v>
      </c>
      <c r="C262" s="64" t="s">
        <v>662</v>
      </c>
      <c r="D262" s="84" t="s">
        <v>682</v>
      </c>
      <c r="E262" s="66">
        <v>61400.0</v>
      </c>
      <c r="F262" s="71" t="s">
        <v>663</v>
      </c>
      <c r="G262" s="45" t="s">
        <v>55</v>
      </c>
      <c r="H262" s="46" t="str">
        <f t="shared" si="4"/>
        <v>22-13</v>
      </c>
      <c r="I262" s="45"/>
      <c r="J262" s="45"/>
      <c r="K262" s="48" t="s">
        <v>50</v>
      </c>
      <c r="L262" s="68" t="s">
        <v>57</v>
      </c>
      <c r="M262" s="50" t="s">
        <v>63</v>
      </c>
    </row>
    <row r="263" ht="27.0" customHeight="1">
      <c r="A263" s="51" t="s">
        <v>683</v>
      </c>
      <c r="B263" s="52" t="s">
        <v>46</v>
      </c>
      <c r="C263" s="53" t="s">
        <v>662</v>
      </c>
      <c r="D263" s="83" t="s">
        <v>684</v>
      </c>
      <c r="E263" s="55">
        <v>63600.0</v>
      </c>
      <c r="F263" s="69" t="s">
        <v>663</v>
      </c>
      <c r="G263" s="59" t="s">
        <v>55</v>
      </c>
      <c r="H263" s="58" t="str">
        <f t="shared" si="4"/>
        <v>22-14</v>
      </c>
      <c r="I263" s="59"/>
      <c r="J263" s="59"/>
      <c r="K263" s="60" t="s">
        <v>50</v>
      </c>
      <c r="L263" s="61" t="s">
        <v>57</v>
      </c>
      <c r="M263" s="62" t="s">
        <v>63</v>
      </c>
    </row>
    <row r="264" ht="27.0" customHeight="1">
      <c r="A264" s="63" t="s">
        <v>685</v>
      </c>
      <c r="B264" s="41" t="s">
        <v>46</v>
      </c>
      <c r="C264" s="64" t="s">
        <v>662</v>
      </c>
      <c r="D264" s="84" t="s">
        <v>686</v>
      </c>
      <c r="E264" s="66">
        <v>58600.0</v>
      </c>
      <c r="F264" s="71" t="s">
        <v>663</v>
      </c>
      <c r="G264" s="45" t="s">
        <v>55</v>
      </c>
      <c r="H264" s="46" t="str">
        <f t="shared" si="4"/>
        <v>22-15</v>
      </c>
      <c r="I264" s="45"/>
      <c r="J264" s="45"/>
      <c r="K264" s="48" t="s">
        <v>50</v>
      </c>
      <c r="L264" s="68" t="s">
        <v>57</v>
      </c>
      <c r="M264" s="50" t="s">
        <v>63</v>
      </c>
    </row>
    <row r="265" ht="27.0" customHeight="1">
      <c r="A265" s="51" t="s">
        <v>687</v>
      </c>
      <c r="B265" s="52" t="s">
        <v>46</v>
      </c>
      <c r="C265" s="53" t="s">
        <v>662</v>
      </c>
      <c r="D265" s="83" t="s">
        <v>688</v>
      </c>
      <c r="E265" s="55">
        <v>65900.0</v>
      </c>
      <c r="F265" s="69" t="s">
        <v>663</v>
      </c>
      <c r="G265" s="59" t="s">
        <v>55</v>
      </c>
      <c r="H265" s="58" t="str">
        <f t="shared" si="4"/>
        <v>22-16</v>
      </c>
      <c r="I265" s="59"/>
      <c r="J265" s="59"/>
      <c r="K265" s="60" t="s">
        <v>50</v>
      </c>
      <c r="L265" s="61" t="s">
        <v>57</v>
      </c>
      <c r="M265" s="62" t="s">
        <v>63</v>
      </c>
    </row>
    <row r="266" ht="27.0" customHeight="1">
      <c r="A266" s="40" t="s">
        <v>689</v>
      </c>
      <c r="B266" s="41" t="s">
        <v>46</v>
      </c>
      <c r="C266" s="42"/>
      <c r="D266" s="125" t="s">
        <v>690</v>
      </c>
      <c r="E266" s="44" t="s">
        <v>47</v>
      </c>
      <c r="F266" s="43" t="s">
        <v>37</v>
      </c>
      <c r="G266" s="45" t="s">
        <v>55</v>
      </c>
      <c r="H266" s="46" t="str">
        <f t="shared" si="4"/>
        <v>23-00</v>
      </c>
      <c r="I266" s="45"/>
      <c r="J266" s="45"/>
      <c r="K266" s="48" t="s">
        <v>50</v>
      </c>
      <c r="L266" s="49"/>
      <c r="M266" s="50" t="s">
        <v>63</v>
      </c>
    </row>
    <row r="267" ht="27.0" customHeight="1">
      <c r="A267" s="51" t="s">
        <v>691</v>
      </c>
      <c r="B267" s="52" t="s">
        <v>46</v>
      </c>
      <c r="C267" s="53" t="s">
        <v>692</v>
      </c>
      <c r="D267" s="83" t="s">
        <v>693</v>
      </c>
      <c r="E267" s="55">
        <v>58900.0</v>
      </c>
      <c r="F267" s="69" t="s">
        <v>694</v>
      </c>
      <c r="G267" s="59" t="s">
        <v>55</v>
      </c>
      <c r="H267" s="58" t="str">
        <f t="shared" si="4"/>
        <v>23-01</v>
      </c>
      <c r="I267" s="59"/>
      <c r="J267" s="59"/>
      <c r="K267" s="60" t="s">
        <v>50</v>
      </c>
      <c r="L267" s="61" t="s">
        <v>57</v>
      </c>
      <c r="M267" s="62" t="s">
        <v>63</v>
      </c>
    </row>
    <row r="268" ht="27.0" customHeight="1">
      <c r="A268" s="63" t="s">
        <v>695</v>
      </c>
      <c r="B268" s="41" t="s">
        <v>46</v>
      </c>
      <c r="C268" s="64" t="s">
        <v>692</v>
      </c>
      <c r="D268" s="84" t="s">
        <v>696</v>
      </c>
      <c r="E268" s="66">
        <v>57500.0</v>
      </c>
      <c r="F268" s="71" t="s">
        <v>694</v>
      </c>
      <c r="G268" s="45" t="s">
        <v>55</v>
      </c>
      <c r="H268" s="46" t="str">
        <f t="shared" si="4"/>
        <v>23-02</v>
      </c>
      <c r="I268" s="45"/>
      <c r="J268" s="45"/>
      <c r="K268" s="48" t="s">
        <v>50</v>
      </c>
      <c r="L268" s="68" t="s">
        <v>57</v>
      </c>
      <c r="M268" s="50" t="s">
        <v>63</v>
      </c>
    </row>
    <row r="269" ht="27.0" customHeight="1">
      <c r="A269" s="51" t="s">
        <v>697</v>
      </c>
      <c r="B269" s="52" t="s">
        <v>46</v>
      </c>
      <c r="C269" s="53" t="s">
        <v>692</v>
      </c>
      <c r="D269" s="83" t="s">
        <v>698</v>
      </c>
      <c r="E269" s="55">
        <v>62500.0</v>
      </c>
      <c r="F269" s="69" t="s">
        <v>694</v>
      </c>
      <c r="G269" s="59" t="s">
        <v>55</v>
      </c>
      <c r="H269" s="58" t="str">
        <f t="shared" si="4"/>
        <v>23-03</v>
      </c>
      <c r="I269" s="59"/>
      <c r="J269" s="59"/>
      <c r="K269" s="60" t="s">
        <v>50</v>
      </c>
      <c r="L269" s="61" t="s">
        <v>57</v>
      </c>
      <c r="M269" s="62" t="s">
        <v>63</v>
      </c>
    </row>
    <row r="270" ht="27.0" customHeight="1">
      <c r="A270" s="63" t="s">
        <v>699</v>
      </c>
      <c r="B270" s="41" t="s">
        <v>46</v>
      </c>
      <c r="C270" s="64" t="s">
        <v>692</v>
      </c>
      <c r="D270" s="84" t="s">
        <v>700</v>
      </c>
      <c r="E270" s="66">
        <v>61800.0</v>
      </c>
      <c r="F270" s="71" t="s">
        <v>694</v>
      </c>
      <c r="G270" s="45" t="s">
        <v>55</v>
      </c>
      <c r="H270" s="46" t="str">
        <f t="shared" si="4"/>
        <v>23-04</v>
      </c>
      <c r="I270" s="45"/>
      <c r="J270" s="45"/>
      <c r="K270" s="48" t="s">
        <v>50</v>
      </c>
      <c r="L270" s="68" t="s">
        <v>57</v>
      </c>
      <c r="M270" s="50" t="s">
        <v>63</v>
      </c>
    </row>
    <row r="271" ht="27.0" customHeight="1">
      <c r="A271" s="51" t="s">
        <v>701</v>
      </c>
      <c r="B271" s="52" t="s">
        <v>46</v>
      </c>
      <c r="C271" s="53" t="s">
        <v>692</v>
      </c>
      <c r="D271" s="83" t="s">
        <v>702</v>
      </c>
      <c r="E271" s="55">
        <v>5700.0</v>
      </c>
      <c r="F271" s="69" t="s">
        <v>694</v>
      </c>
      <c r="G271" s="59" t="s">
        <v>55</v>
      </c>
      <c r="H271" s="58" t="str">
        <f t="shared" si="4"/>
        <v>23-05</v>
      </c>
      <c r="I271" s="59"/>
      <c r="J271" s="59"/>
      <c r="K271" s="60" t="s">
        <v>50</v>
      </c>
      <c r="L271" s="61" t="s">
        <v>57</v>
      </c>
      <c r="M271" s="62" t="s">
        <v>63</v>
      </c>
    </row>
    <row r="272" ht="27.0" customHeight="1">
      <c r="A272" s="40" t="s">
        <v>703</v>
      </c>
      <c r="B272" s="41" t="s">
        <v>46</v>
      </c>
      <c r="C272" s="42"/>
      <c r="D272" s="125" t="s">
        <v>704</v>
      </c>
      <c r="E272" s="44" t="s">
        <v>47</v>
      </c>
      <c r="F272" s="43" t="s">
        <v>37</v>
      </c>
      <c r="G272" s="45" t="s">
        <v>55</v>
      </c>
      <c r="H272" s="46" t="str">
        <f t="shared" si="4"/>
        <v>24-00</v>
      </c>
      <c r="I272" s="45"/>
      <c r="J272" s="45"/>
      <c r="K272" s="48" t="s">
        <v>50</v>
      </c>
      <c r="L272" s="49"/>
      <c r="M272" s="50" t="s">
        <v>63</v>
      </c>
    </row>
    <row r="273" ht="27.0" customHeight="1">
      <c r="A273" s="51" t="s">
        <v>705</v>
      </c>
      <c r="B273" s="52" t="s">
        <v>46</v>
      </c>
      <c r="C273" s="53" t="s">
        <v>706</v>
      </c>
      <c r="D273" s="83" t="s">
        <v>707</v>
      </c>
      <c r="E273" s="55">
        <v>458000.0</v>
      </c>
      <c r="F273" s="69" t="s">
        <v>708</v>
      </c>
      <c r="G273" s="59" t="s">
        <v>55</v>
      </c>
      <c r="H273" s="58" t="str">
        <f t="shared" si="4"/>
        <v>24-01</v>
      </c>
      <c r="I273" s="59"/>
      <c r="J273" s="59"/>
      <c r="K273" s="60" t="s">
        <v>50</v>
      </c>
      <c r="L273" s="61" t="s">
        <v>57</v>
      </c>
      <c r="M273" s="62" t="s">
        <v>63</v>
      </c>
    </row>
    <row r="274" ht="27.0" customHeight="1">
      <c r="A274" s="87" t="s">
        <v>709</v>
      </c>
      <c r="B274" s="41" t="s">
        <v>46</v>
      </c>
      <c r="C274" s="64" t="s">
        <v>706</v>
      </c>
      <c r="D274" s="84" t="s">
        <v>710</v>
      </c>
      <c r="E274" s="66">
        <v>511600.0</v>
      </c>
      <c r="F274" s="71" t="s">
        <v>708</v>
      </c>
      <c r="G274" s="45" t="s">
        <v>55</v>
      </c>
      <c r="H274" s="46" t="str">
        <f t="shared" si="4"/>
        <v>24-02</v>
      </c>
      <c r="I274" s="45"/>
      <c r="J274" s="45"/>
      <c r="K274" s="48" t="s">
        <v>50</v>
      </c>
      <c r="L274" s="68" t="s">
        <v>57</v>
      </c>
      <c r="M274" s="50" t="s">
        <v>63</v>
      </c>
    </row>
    <row r="275" ht="27.0" customHeight="1">
      <c r="A275" s="51" t="s">
        <v>711</v>
      </c>
      <c r="B275" s="52" t="s">
        <v>46</v>
      </c>
      <c r="C275" s="53" t="s">
        <v>706</v>
      </c>
      <c r="D275" s="83" t="s">
        <v>712</v>
      </c>
      <c r="E275" s="55">
        <v>472900.0</v>
      </c>
      <c r="F275" s="69" t="s">
        <v>708</v>
      </c>
      <c r="G275" s="59" t="s">
        <v>55</v>
      </c>
      <c r="H275" s="58" t="str">
        <f t="shared" si="4"/>
        <v>24-03</v>
      </c>
      <c r="I275" s="59"/>
      <c r="J275" s="59"/>
      <c r="K275" s="60" t="s">
        <v>50</v>
      </c>
      <c r="L275" s="61" t="s">
        <v>57</v>
      </c>
      <c r="M275" s="62" t="s">
        <v>63</v>
      </c>
    </row>
    <row r="276" ht="27.0" customHeight="1">
      <c r="A276" s="63" t="s">
        <v>713</v>
      </c>
      <c r="B276" s="41" t="s">
        <v>46</v>
      </c>
      <c r="C276" s="64" t="s">
        <v>706</v>
      </c>
      <c r="D276" s="84" t="s">
        <v>714</v>
      </c>
      <c r="E276" s="66">
        <v>526500.0</v>
      </c>
      <c r="F276" s="71" t="s">
        <v>708</v>
      </c>
      <c r="G276" s="45" t="s">
        <v>55</v>
      </c>
      <c r="H276" s="46" t="str">
        <f t="shared" si="4"/>
        <v>24-04</v>
      </c>
      <c r="I276" s="45"/>
      <c r="J276" s="45"/>
      <c r="K276" s="48" t="s">
        <v>50</v>
      </c>
      <c r="L276" s="68" t="s">
        <v>57</v>
      </c>
      <c r="M276" s="50" t="s">
        <v>63</v>
      </c>
    </row>
    <row r="277" ht="27.0" customHeight="1">
      <c r="A277" s="118" t="s">
        <v>715</v>
      </c>
      <c r="B277" s="52" t="s">
        <v>46</v>
      </c>
      <c r="C277" s="119"/>
      <c r="D277" s="125" t="s">
        <v>716</v>
      </c>
      <c r="E277" s="120" t="s">
        <v>47</v>
      </c>
      <c r="F277" s="121" t="s">
        <v>37</v>
      </c>
      <c r="G277" s="59" t="s">
        <v>55</v>
      </c>
      <c r="H277" s="58" t="str">
        <f t="shared" si="4"/>
        <v>25-00</v>
      </c>
      <c r="I277" s="59"/>
      <c r="J277" s="59"/>
      <c r="K277" s="60" t="s">
        <v>50</v>
      </c>
      <c r="L277" s="122"/>
      <c r="M277" s="62" t="s">
        <v>63</v>
      </c>
    </row>
    <row r="278" ht="27.0" customHeight="1">
      <c r="A278" s="63" t="s">
        <v>717</v>
      </c>
      <c r="B278" s="41" t="s">
        <v>46</v>
      </c>
      <c r="C278" s="64" t="s">
        <v>718</v>
      </c>
      <c r="D278" s="84" t="s">
        <v>719</v>
      </c>
      <c r="E278" s="66">
        <v>7100.0</v>
      </c>
      <c r="F278" s="71" t="s">
        <v>720</v>
      </c>
      <c r="G278" s="45" t="s">
        <v>55</v>
      </c>
      <c r="H278" s="46" t="str">
        <f t="shared" si="4"/>
        <v>25-01</v>
      </c>
      <c r="I278" s="45"/>
      <c r="J278" s="45"/>
      <c r="K278" s="48" t="s">
        <v>50</v>
      </c>
      <c r="L278" s="68" t="s">
        <v>57</v>
      </c>
      <c r="M278" s="50" t="s">
        <v>63</v>
      </c>
    </row>
    <row r="279" ht="27.0" customHeight="1">
      <c r="A279" s="86" t="s">
        <v>721</v>
      </c>
      <c r="B279" s="52" t="s">
        <v>46</v>
      </c>
      <c r="C279" s="53" t="s">
        <v>718</v>
      </c>
      <c r="D279" s="74" t="s">
        <v>722</v>
      </c>
      <c r="E279" s="55">
        <v>5700.0</v>
      </c>
      <c r="F279" s="69" t="s">
        <v>720</v>
      </c>
      <c r="G279" s="59" t="s">
        <v>55</v>
      </c>
      <c r="H279" s="58" t="str">
        <f t="shared" si="4"/>
        <v>25-02</v>
      </c>
      <c r="I279" s="59"/>
      <c r="J279" s="59"/>
      <c r="K279" s="60" t="s">
        <v>50</v>
      </c>
      <c r="L279" s="61" t="s">
        <v>57</v>
      </c>
      <c r="M279" s="62" t="s">
        <v>63</v>
      </c>
    </row>
    <row r="280" ht="27.0" customHeight="1">
      <c r="A280" s="63" t="s">
        <v>723</v>
      </c>
      <c r="B280" s="41" t="s">
        <v>46</v>
      </c>
      <c r="C280" s="64" t="s">
        <v>718</v>
      </c>
      <c r="D280" s="73" t="s">
        <v>724</v>
      </c>
      <c r="E280" s="66">
        <v>5000.0</v>
      </c>
      <c r="F280" s="71" t="s">
        <v>720</v>
      </c>
      <c r="G280" s="45" t="s">
        <v>55</v>
      </c>
      <c r="H280" s="46" t="str">
        <f t="shared" si="4"/>
        <v>25-03</v>
      </c>
      <c r="I280" s="45"/>
      <c r="J280" s="45"/>
      <c r="K280" s="48" t="s">
        <v>50</v>
      </c>
      <c r="L280" s="68" t="s">
        <v>57</v>
      </c>
      <c r="M280" s="50" t="s">
        <v>63</v>
      </c>
    </row>
    <row r="281" ht="27.0" customHeight="1">
      <c r="A281" s="51" t="s">
        <v>725</v>
      </c>
      <c r="B281" s="52" t="s">
        <v>46</v>
      </c>
      <c r="C281" s="53" t="s">
        <v>718</v>
      </c>
      <c r="D281" s="74" t="s">
        <v>726</v>
      </c>
      <c r="E281" s="55">
        <v>4600.0</v>
      </c>
      <c r="F281" s="69" t="s">
        <v>720</v>
      </c>
      <c r="G281" s="59" t="s">
        <v>55</v>
      </c>
      <c r="H281" s="58" t="str">
        <f t="shared" si="4"/>
        <v>25-04</v>
      </c>
      <c r="I281" s="59"/>
      <c r="J281" s="59"/>
      <c r="K281" s="60" t="s">
        <v>50</v>
      </c>
      <c r="L281" s="61" t="s">
        <v>57</v>
      </c>
      <c r="M281" s="62" t="s">
        <v>63</v>
      </c>
    </row>
    <row r="282" ht="27.0" hidden="1" customHeight="1">
      <c r="A282" s="158" t="s">
        <v>727</v>
      </c>
      <c r="B282" s="84"/>
      <c r="C282" s="43"/>
      <c r="D282" s="41" t="s">
        <v>728</v>
      </c>
      <c r="E282" s="153" t="s">
        <v>47</v>
      </c>
      <c r="F282" s="71" t="s">
        <v>37</v>
      </c>
      <c r="G282" s="45" t="s">
        <v>55</v>
      </c>
      <c r="H282" s="46" t="str">
        <f t="shared" si="4"/>
        <v>26-00</v>
      </c>
      <c r="I282" s="45"/>
      <c r="J282" s="45"/>
      <c r="K282" s="48" t="s">
        <v>50</v>
      </c>
      <c r="L282" s="49"/>
      <c r="M282" s="50" t="s">
        <v>63</v>
      </c>
    </row>
    <row r="283" ht="27.0" hidden="1" customHeight="1">
      <c r="A283" s="86" t="s">
        <v>729</v>
      </c>
      <c r="B283" s="83"/>
      <c r="C283" s="52" t="s">
        <v>728</v>
      </c>
      <c r="D283" s="60" t="s">
        <v>730</v>
      </c>
      <c r="E283" s="55">
        <v>-28000.0</v>
      </c>
      <c r="F283" s="69" t="s">
        <v>731</v>
      </c>
      <c r="G283" s="59" t="s">
        <v>55</v>
      </c>
      <c r="H283" s="58" t="str">
        <f t="shared" si="4"/>
        <v>26-01</v>
      </c>
      <c r="I283" s="59"/>
      <c r="J283" s="59"/>
      <c r="K283" s="60" t="s">
        <v>50</v>
      </c>
      <c r="L283" s="61" t="s">
        <v>57</v>
      </c>
      <c r="M283" s="62" t="s">
        <v>63</v>
      </c>
    </row>
    <row r="284" ht="27.0" hidden="1" customHeight="1">
      <c r="A284" s="87" t="s">
        <v>732</v>
      </c>
      <c r="B284" s="84"/>
      <c r="C284" s="41" t="s">
        <v>728</v>
      </c>
      <c r="D284" s="48" t="s">
        <v>733</v>
      </c>
      <c r="E284" s="66">
        <v>0.0</v>
      </c>
      <c r="F284" s="71" t="s">
        <v>734</v>
      </c>
      <c r="G284" s="47"/>
      <c r="H284" s="46" t="str">
        <f t="shared" si="4"/>
        <v>26-02</v>
      </c>
      <c r="I284" s="45"/>
      <c r="J284" s="45"/>
      <c r="K284" s="72" t="s">
        <v>735</v>
      </c>
      <c r="L284" s="68" t="s">
        <v>57</v>
      </c>
      <c r="M284" s="50" t="s">
        <v>63</v>
      </c>
    </row>
    <row r="285" ht="27.0" hidden="1" customHeight="1">
      <c r="A285" s="86" t="s">
        <v>736</v>
      </c>
      <c r="B285" s="83"/>
      <c r="C285" s="52" t="s">
        <v>728</v>
      </c>
      <c r="D285" s="60" t="s">
        <v>737</v>
      </c>
      <c r="E285" s="55">
        <v>0.0</v>
      </c>
      <c r="F285" s="69" t="s">
        <v>738</v>
      </c>
      <c r="G285" s="57"/>
      <c r="H285" s="58" t="str">
        <f t="shared" si="4"/>
        <v>26-03</v>
      </c>
      <c r="I285" s="59"/>
      <c r="J285" s="59"/>
      <c r="K285" s="60" t="s">
        <v>50</v>
      </c>
      <c r="L285" s="61" t="s">
        <v>57</v>
      </c>
      <c r="M285" s="62" t="s">
        <v>63</v>
      </c>
    </row>
    <row r="286" ht="27.0" hidden="1" customHeight="1">
      <c r="A286" s="76" t="s">
        <v>739</v>
      </c>
      <c r="B286" s="159" t="s">
        <v>740</v>
      </c>
      <c r="C286" s="41"/>
      <c r="D286" s="159" t="s">
        <v>741</v>
      </c>
      <c r="E286" s="153" t="s">
        <v>47</v>
      </c>
      <c r="F286" s="71" t="s">
        <v>37</v>
      </c>
      <c r="G286" s="47" t="s">
        <v>75</v>
      </c>
      <c r="H286" s="46" t="str">
        <f t="shared" si="4"/>
        <v>27-00</v>
      </c>
      <c r="I286" s="45"/>
      <c r="J286" s="45"/>
      <c r="K286" s="48" t="s">
        <v>50</v>
      </c>
      <c r="L286" s="49"/>
      <c r="M286" s="50" t="s">
        <v>63</v>
      </c>
    </row>
    <row r="287" ht="27.0" hidden="1" customHeight="1">
      <c r="A287" s="160" t="s">
        <v>742</v>
      </c>
      <c r="B287" s="161" t="s">
        <v>740</v>
      </c>
      <c r="C287" s="161" t="s">
        <v>743</v>
      </c>
      <c r="D287" s="47" t="s">
        <v>744</v>
      </c>
      <c r="E287" s="55">
        <v>11000.0</v>
      </c>
      <c r="F287" s="69"/>
      <c r="G287" s="57" t="s">
        <v>75</v>
      </c>
      <c r="H287" s="58" t="str">
        <f t="shared" si="4"/>
        <v>27-01</v>
      </c>
      <c r="I287" s="59"/>
      <c r="J287" s="59"/>
      <c r="K287" s="60" t="s">
        <v>50</v>
      </c>
      <c r="L287" s="61" t="s">
        <v>745</v>
      </c>
      <c r="M287" s="62" t="s">
        <v>63</v>
      </c>
    </row>
    <row r="288" ht="27.0" hidden="1" customHeight="1">
      <c r="A288" s="162" t="s">
        <v>746</v>
      </c>
      <c r="B288" s="159" t="s">
        <v>740</v>
      </c>
      <c r="C288" s="159" t="s">
        <v>743</v>
      </c>
      <c r="D288" s="47" t="s">
        <v>747</v>
      </c>
      <c r="E288" s="66">
        <v>19000.0</v>
      </c>
      <c r="F288" s="71"/>
      <c r="G288" s="47" t="s">
        <v>75</v>
      </c>
      <c r="H288" s="46" t="str">
        <f t="shared" si="4"/>
        <v>27-02</v>
      </c>
      <c r="I288" s="45"/>
      <c r="J288" s="45"/>
      <c r="K288" s="48" t="s">
        <v>50</v>
      </c>
      <c r="L288" s="68" t="s">
        <v>745</v>
      </c>
      <c r="M288" s="50" t="s">
        <v>63</v>
      </c>
    </row>
    <row r="289" ht="27.0" hidden="1" customHeight="1">
      <c r="A289" s="160" t="s">
        <v>748</v>
      </c>
      <c r="B289" s="161" t="s">
        <v>740</v>
      </c>
      <c r="C289" s="161" t="s">
        <v>743</v>
      </c>
      <c r="D289" s="47" t="s">
        <v>749</v>
      </c>
      <c r="E289" s="55">
        <v>38000.0</v>
      </c>
      <c r="F289" s="69"/>
      <c r="G289" s="57" t="s">
        <v>75</v>
      </c>
      <c r="H289" s="58" t="str">
        <f t="shared" si="4"/>
        <v>27-03</v>
      </c>
      <c r="I289" s="59"/>
      <c r="J289" s="59"/>
      <c r="K289" s="60" t="s">
        <v>50</v>
      </c>
      <c r="L289" s="61" t="s">
        <v>745</v>
      </c>
      <c r="M289" s="62" t="s">
        <v>63</v>
      </c>
    </row>
    <row r="290" ht="27.0" hidden="1" customHeight="1">
      <c r="A290" s="162" t="s">
        <v>750</v>
      </c>
      <c r="B290" s="159" t="s">
        <v>740</v>
      </c>
      <c r="C290" s="159" t="s">
        <v>743</v>
      </c>
      <c r="D290" s="47" t="s">
        <v>751</v>
      </c>
      <c r="E290" s="48">
        <v>18000.0</v>
      </c>
      <c r="F290" s="49"/>
      <c r="G290" s="47" t="s">
        <v>75</v>
      </c>
      <c r="H290" s="46" t="str">
        <f t="shared" si="4"/>
        <v>27-04</v>
      </c>
      <c r="I290" s="45"/>
      <c r="J290" s="49"/>
      <c r="K290" s="48" t="s">
        <v>50</v>
      </c>
      <c r="L290" s="68" t="s">
        <v>745</v>
      </c>
      <c r="M290" s="50" t="s">
        <v>63</v>
      </c>
    </row>
    <row r="291" ht="27.0" hidden="1" customHeight="1">
      <c r="A291" s="163" t="s">
        <v>752</v>
      </c>
      <c r="B291" s="161" t="s">
        <v>740</v>
      </c>
      <c r="C291" s="161"/>
      <c r="D291" s="161" t="s">
        <v>753</v>
      </c>
      <c r="E291" s="80" t="s">
        <v>47</v>
      </c>
      <c r="F291" s="69" t="s">
        <v>37</v>
      </c>
      <c r="G291" s="57" t="s">
        <v>75</v>
      </c>
      <c r="H291" s="58" t="str">
        <f t="shared" si="4"/>
        <v>28-00</v>
      </c>
      <c r="I291" s="59"/>
      <c r="J291" s="122"/>
      <c r="K291" s="60" t="s">
        <v>50</v>
      </c>
      <c r="L291" s="122"/>
      <c r="M291" s="62" t="s">
        <v>63</v>
      </c>
    </row>
    <row r="292" ht="27.0" hidden="1" customHeight="1">
      <c r="A292" s="76" t="s">
        <v>754</v>
      </c>
      <c r="B292" s="159" t="s">
        <v>740</v>
      </c>
      <c r="C292" s="159" t="s">
        <v>755</v>
      </c>
      <c r="D292" s="47" t="s">
        <v>756</v>
      </c>
      <c r="E292" s="48">
        <v>33000.0</v>
      </c>
      <c r="F292" s="49"/>
      <c r="G292" s="47" t="s">
        <v>75</v>
      </c>
      <c r="H292" s="46" t="str">
        <f t="shared" si="4"/>
        <v>28-01</v>
      </c>
      <c r="I292" s="45"/>
      <c r="J292" s="49"/>
      <c r="K292" s="48" t="s">
        <v>50</v>
      </c>
      <c r="L292" s="68" t="s">
        <v>745</v>
      </c>
      <c r="M292" s="50" t="s">
        <v>63</v>
      </c>
    </row>
    <row r="293" ht="27.0" hidden="1" customHeight="1">
      <c r="A293" s="163" t="s">
        <v>757</v>
      </c>
      <c r="B293" s="161" t="s">
        <v>740</v>
      </c>
      <c r="C293" s="161" t="s">
        <v>758</v>
      </c>
      <c r="D293" s="47" t="s">
        <v>759</v>
      </c>
      <c r="E293" s="60">
        <v>145500.0</v>
      </c>
      <c r="F293" s="61" t="s">
        <v>760</v>
      </c>
      <c r="G293" s="57" t="s">
        <v>75</v>
      </c>
      <c r="H293" s="58" t="str">
        <f t="shared" si="4"/>
        <v>28-02</v>
      </c>
      <c r="I293" s="59"/>
      <c r="J293" s="122"/>
      <c r="K293" s="60" t="s">
        <v>50</v>
      </c>
      <c r="L293" s="61" t="s">
        <v>745</v>
      </c>
      <c r="M293" s="62" t="s">
        <v>63</v>
      </c>
    </row>
    <row r="294" ht="27.0" hidden="1" customHeight="1">
      <c r="A294" s="76" t="s">
        <v>761</v>
      </c>
      <c r="B294" s="159" t="s">
        <v>740</v>
      </c>
      <c r="C294" s="159" t="s">
        <v>758</v>
      </c>
      <c r="D294" s="47" t="s">
        <v>762</v>
      </c>
      <c r="E294" s="48">
        <v>190000.0</v>
      </c>
      <c r="F294" s="68" t="s">
        <v>760</v>
      </c>
      <c r="G294" s="47" t="s">
        <v>75</v>
      </c>
      <c r="H294" s="46" t="str">
        <f t="shared" si="4"/>
        <v>28-03</v>
      </c>
      <c r="I294" s="45"/>
      <c r="J294" s="49"/>
      <c r="K294" s="48" t="s">
        <v>50</v>
      </c>
      <c r="L294" s="68" t="s">
        <v>745</v>
      </c>
      <c r="M294" s="50" t="s">
        <v>63</v>
      </c>
    </row>
    <row r="295" ht="27.0" hidden="1" customHeight="1">
      <c r="A295" s="163" t="s">
        <v>763</v>
      </c>
      <c r="B295" s="161" t="s">
        <v>740</v>
      </c>
      <c r="C295" s="161" t="s">
        <v>758</v>
      </c>
      <c r="D295" s="47" t="s">
        <v>764</v>
      </c>
      <c r="E295" s="60">
        <v>24500.0</v>
      </c>
      <c r="F295" s="61" t="s">
        <v>765</v>
      </c>
      <c r="G295" s="57" t="s">
        <v>75</v>
      </c>
      <c r="H295" s="58" t="str">
        <f t="shared" si="4"/>
        <v>28-04</v>
      </c>
      <c r="I295" s="59"/>
      <c r="J295" s="122"/>
      <c r="K295" s="60" t="s">
        <v>50</v>
      </c>
      <c r="L295" s="61" t="s">
        <v>745</v>
      </c>
      <c r="M295" s="62" t="s">
        <v>63</v>
      </c>
    </row>
    <row r="296" ht="27.0" hidden="1" customHeight="1">
      <c r="A296" s="76" t="s">
        <v>766</v>
      </c>
      <c r="B296" s="159" t="s">
        <v>740</v>
      </c>
      <c r="C296" s="159" t="s">
        <v>755</v>
      </c>
      <c r="D296" s="47" t="s">
        <v>767</v>
      </c>
      <c r="E296" s="48">
        <v>75000.0</v>
      </c>
      <c r="F296" s="68"/>
      <c r="G296" s="47" t="s">
        <v>75</v>
      </c>
      <c r="H296" s="46" t="str">
        <f t="shared" si="4"/>
        <v>28-05</v>
      </c>
      <c r="I296" s="45"/>
      <c r="J296" s="49"/>
      <c r="K296" s="48" t="s">
        <v>50</v>
      </c>
      <c r="L296" s="68" t="s">
        <v>745</v>
      </c>
      <c r="M296" s="50" t="s">
        <v>63</v>
      </c>
    </row>
    <row r="297" ht="27.0" hidden="1" customHeight="1">
      <c r="A297" s="163" t="s">
        <v>768</v>
      </c>
      <c r="B297" s="161" t="s">
        <v>740</v>
      </c>
      <c r="C297" s="161" t="s">
        <v>755</v>
      </c>
      <c r="D297" s="47" t="s">
        <v>769</v>
      </c>
      <c r="E297" s="60">
        <v>221500.0</v>
      </c>
      <c r="F297" s="122"/>
      <c r="G297" s="57" t="s">
        <v>75</v>
      </c>
      <c r="H297" s="58" t="str">
        <f t="shared" si="4"/>
        <v>28-06</v>
      </c>
      <c r="I297" s="59"/>
      <c r="J297" s="122"/>
      <c r="K297" s="60" t="s">
        <v>50</v>
      </c>
      <c r="L297" s="61" t="s">
        <v>745</v>
      </c>
      <c r="M297" s="62" t="s">
        <v>63</v>
      </c>
    </row>
    <row r="298" ht="27.0" hidden="1" customHeight="1">
      <c r="A298" s="76" t="s">
        <v>770</v>
      </c>
      <c r="B298" s="159" t="s">
        <v>740</v>
      </c>
      <c r="C298" s="159" t="s">
        <v>755</v>
      </c>
      <c r="D298" s="47" t="s">
        <v>771</v>
      </c>
      <c r="E298" s="48">
        <v>10000.0</v>
      </c>
      <c r="F298" s="68" t="s">
        <v>772</v>
      </c>
      <c r="G298" s="47" t="s">
        <v>75</v>
      </c>
      <c r="H298" s="46" t="str">
        <f t="shared" si="4"/>
        <v>28-07</v>
      </c>
      <c r="I298" s="45"/>
      <c r="J298" s="49"/>
      <c r="K298" s="48" t="s">
        <v>50</v>
      </c>
      <c r="L298" s="68" t="s">
        <v>745</v>
      </c>
      <c r="M298" s="50" t="s">
        <v>63</v>
      </c>
    </row>
    <row r="299" ht="27.0" hidden="1" customHeight="1">
      <c r="A299" s="163" t="s">
        <v>773</v>
      </c>
      <c r="B299" s="161" t="s">
        <v>740</v>
      </c>
      <c r="C299" s="161" t="s">
        <v>758</v>
      </c>
      <c r="D299" s="47" t="s">
        <v>774</v>
      </c>
      <c r="E299" s="60">
        <v>15000.0</v>
      </c>
      <c r="F299" s="61" t="s">
        <v>775</v>
      </c>
      <c r="G299" s="57" t="s">
        <v>75</v>
      </c>
      <c r="H299" s="58" t="str">
        <f t="shared" si="4"/>
        <v>28-08</v>
      </c>
      <c r="I299" s="59"/>
      <c r="J299" s="122"/>
      <c r="K299" s="60" t="s">
        <v>50</v>
      </c>
      <c r="L299" s="61" t="s">
        <v>745</v>
      </c>
      <c r="M299" s="62" t="s">
        <v>63</v>
      </c>
    </row>
    <row r="300" ht="27.0" hidden="1" customHeight="1">
      <c r="A300" s="76" t="s">
        <v>776</v>
      </c>
      <c r="B300" s="159" t="s">
        <v>740</v>
      </c>
      <c r="C300" s="159" t="s">
        <v>758</v>
      </c>
      <c r="D300" s="47" t="s">
        <v>777</v>
      </c>
      <c r="E300" s="48">
        <v>27000.0</v>
      </c>
      <c r="F300" s="49"/>
      <c r="G300" s="47" t="s">
        <v>75</v>
      </c>
      <c r="H300" s="46" t="str">
        <f t="shared" si="4"/>
        <v>28-09</v>
      </c>
      <c r="I300" s="45"/>
      <c r="J300" s="49"/>
      <c r="K300" s="48" t="s">
        <v>50</v>
      </c>
      <c r="L300" s="68" t="s">
        <v>745</v>
      </c>
      <c r="M300" s="50" t="s">
        <v>63</v>
      </c>
    </row>
    <row r="301" ht="27.0" hidden="1" customHeight="1">
      <c r="A301" s="163" t="s">
        <v>778</v>
      </c>
      <c r="B301" s="161" t="s">
        <v>740</v>
      </c>
      <c r="C301" s="161" t="s">
        <v>758</v>
      </c>
      <c r="D301" s="47" t="s">
        <v>779</v>
      </c>
      <c r="E301" s="60">
        <v>42000.0</v>
      </c>
      <c r="F301" s="122"/>
      <c r="G301" s="57" t="s">
        <v>75</v>
      </c>
      <c r="H301" s="58" t="str">
        <f t="shared" si="4"/>
        <v>28-10</v>
      </c>
      <c r="I301" s="59"/>
      <c r="J301" s="122"/>
      <c r="K301" s="60" t="s">
        <v>50</v>
      </c>
      <c r="L301" s="61" t="s">
        <v>745</v>
      </c>
      <c r="M301" s="62" t="s">
        <v>63</v>
      </c>
    </row>
    <row r="302" ht="27.0" hidden="1" customHeight="1">
      <c r="A302" s="76" t="s">
        <v>780</v>
      </c>
      <c r="B302" s="159" t="s">
        <v>740</v>
      </c>
      <c r="C302" s="159" t="s">
        <v>758</v>
      </c>
      <c r="D302" s="47" t="s">
        <v>781</v>
      </c>
      <c r="E302" s="48">
        <v>45500.0</v>
      </c>
      <c r="F302" s="49"/>
      <c r="G302" s="47" t="s">
        <v>75</v>
      </c>
      <c r="H302" s="46" t="str">
        <f t="shared" si="4"/>
        <v>28-11</v>
      </c>
      <c r="I302" s="45"/>
      <c r="J302" s="49"/>
      <c r="K302" s="48" t="s">
        <v>50</v>
      </c>
      <c r="L302" s="68" t="s">
        <v>745</v>
      </c>
      <c r="M302" s="50" t="s">
        <v>63</v>
      </c>
    </row>
    <row r="303" ht="27.0" hidden="1" customHeight="1">
      <c r="A303" s="163" t="s">
        <v>782</v>
      </c>
      <c r="B303" s="161" t="s">
        <v>740</v>
      </c>
      <c r="C303" s="161" t="s">
        <v>783</v>
      </c>
      <c r="D303" s="47" t="s">
        <v>784</v>
      </c>
      <c r="E303" s="60">
        <v>66000.0</v>
      </c>
      <c r="F303" s="61" t="s">
        <v>785</v>
      </c>
      <c r="G303" s="57" t="s">
        <v>75</v>
      </c>
      <c r="H303" s="58" t="str">
        <f t="shared" si="4"/>
        <v>28-12</v>
      </c>
      <c r="I303" s="59"/>
      <c r="J303" s="122"/>
      <c r="K303" s="60" t="s">
        <v>50</v>
      </c>
      <c r="L303" s="61" t="s">
        <v>745</v>
      </c>
      <c r="M303" s="62" t="s">
        <v>63</v>
      </c>
    </row>
    <row r="304" ht="27.0" hidden="1" customHeight="1">
      <c r="A304" s="76" t="s">
        <v>786</v>
      </c>
      <c r="B304" s="159" t="s">
        <v>740</v>
      </c>
      <c r="C304" s="159" t="s">
        <v>783</v>
      </c>
      <c r="D304" s="47" t="s">
        <v>787</v>
      </c>
      <c r="E304" s="48">
        <v>12000.0</v>
      </c>
      <c r="F304" s="49"/>
      <c r="G304" s="47" t="s">
        <v>75</v>
      </c>
      <c r="H304" s="46" t="str">
        <f t="shared" si="4"/>
        <v>28-13</v>
      </c>
      <c r="I304" s="45"/>
      <c r="J304" s="49"/>
      <c r="K304" s="48" t="s">
        <v>50</v>
      </c>
      <c r="L304" s="68" t="s">
        <v>745</v>
      </c>
      <c r="M304" s="50" t="s">
        <v>63</v>
      </c>
    </row>
    <row r="305" ht="27.0" hidden="1" customHeight="1">
      <c r="A305" s="163" t="s">
        <v>788</v>
      </c>
      <c r="B305" s="161" t="s">
        <v>740</v>
      </c>
      <c r="C305" s="161" t="s">
        <v>783</v>
      </c>
      <c r="D305" s="47" t="s">
        <v>789</v>
      </c>
      <c r="E305" s="60">
        <v>17000.0</v>
      </c>
      <c r="F305" s="122"/>
      <c r="G305" s="57" t="s">
        <v>75</v>
      </c>
      <c r="H305" s="58" t="str">
        <f t="shared" si="4"/>
        <v>28-14</v>
      </c>
      <c r="I305" s="59"/>
      <c r="J305" s="122"/>
      <c r="K305" s="60" t="s">
        <v>50</v>
      </c>
      <c r="L305" s="61" t="s">
        <v>745</v>
      </c>
      <c r="M305" s="62" t="s">
        <v>63</v>
      </c>
    </row>
    <row r="306" ht="27.0" hidden="1" customHeight="1">
      <c r="A306" s="76" t="s">
        <v>790</v>
      </c>
      <c r="B306" s="159" t="s">
        <v>740</v>
      </c>
      <c r="C306" s="159" t="s">
        <v>783</v>
      </c>
      <c r="D306" s="47" t="s">
        <v>791</v>
      </c>
      <c r="E306" s="48">
        <v>47000.0</v>
      </c>
      <c r="F306" s="49"/>
      <c r="G306" s="47" t="s">
        <v>75</v>
      </c>
      <c r="H306" s="46" t="str">
        <f t="shared" si="4"/>
        <v>28-15</v>
      </c>
      <c r="I306" s="45"/>
      <c r="J306" s="49"/>
      <c r="K306" s="48" t="s">
        <v>50</v>
      </c>
      <c r="L306" s="68" t="s">
        <v>745</v>
      </c>
      <c r="M306" s="50" t="s">
        <v>63</v>
      </c>
    </row>
    <row r="307" ht="27.0" hidden="1" customHeight="1">
      <c r="A307" s="163" t="s">
        <v>792</v>
      </c>
      <c r="B307" s="161" t="s">
        <v>740</v>
      </c>
      <c r="C307" s="161" t="s">
        <v>783</v>
      </c>
      <c r="D307" s="47" t="s">
        <v>793</v>
      </c>
      <c r="E307" s="60">
        <v>67000.0</v>
      </c>
      <c r="F307" s="122"/>
      <c r="G307" s="57" t="s">
        <v>75</v>
      </c>
      <c r="H307" s="58" t="str">
        <f t="shared" si="4"/>
        <v>28-16</v>
      </c>
      <c r="I307" s="59"/>
      <c r="J307" s="122"/>
      <c r="K307" s="60" t="s">
        <v>50</v>
      </c>
      <c r="L307" s="61" t="s">
        <v>745</v>
      </c>
      <c r="M307" s="62" t="s">
        <v>63</v>
      </c>
    </row>
    <row r="308" ht="27.0" hidden="1" customHeight="1">
      <c r="A308" s="76" t="s">
        <v>794</v>
      </c>
      <c r="B308" s="159" t="s">
        <v>740</v>
      </c>
      <c r="C308" s="159" t="s">
        <v>783</v>
      </c>
      <c r="D308" s="47" t="s">
        <v>795</v>
      </c>
      <c r="E308" s="48">
        <v>52500.0</v>
      </c>
      <c r="F308" s="49"/>
      <c r="G308" s="47" t="s">
        <v>75</v>
      </c>
      <c r="H308" s="46" t="str">
        <f t="shared" si="4"/>
        <v>28-17</v>
      </c>
      <c r="I308" s="45"/>
      <c r="J308" s="49"/>
      <c r="K308" s="48" t="s">
        <v>50</v>
      </c>
      <c r="L308" s="68" t="s">
        <v>745</v>
      </c>
      <c r="M308" s="50" t="s">
        <v>63</v>
      </c>
    </row>
    <row r="309" ht="27.0" hidden="1" customHeight="1">
      <c r="A309" s="163" t="s">
        <v>796</v>
      </c>
      <c r="B309" s="161" t="s">
        <v>740</v>
      </c>
      <c r="C309" s="161" t="s">
        <v>758</v>
      </c>
      <c r="D309" s="47" t="s">
        <v>797</v>
      </c>
      <c r="E309" s="60">
        <v>45500.0</v>
      </c>
      <c r="F309" s="61" t="s">
        <v>798</v>
      </c>
      <c r="G309" s="57" t="s">
        <v>75</v>
      </c>
      <c r="H309" s="58" t="str">
        <f t="shared" si="4"/>
        <v>28-18</v>
      </c>
      <c r="I309" s="59"/>
      <c r="J309" s="122"/>
      <c r="K309" s="60" t="s">
        <v>50</v>
      </c>
      <c r="L309" s="61" t="s">
        <v>745</v>
      </c>
      <c r="M309" s="62" t="s">
        <v>63</v>
      </c>
    </row>
    <row r="310" ht="27.0" hidden="1" customHeight="1">
      <c r="A310" s="76" t="s">
        <v>799</v>
      </c>
      <c r="B310" s="159" t="s">
        <v>740</v>
      </c>
      <c r="C310" s="159" t="s">
        <v>758</v>
      </c>
      <c r="D310" s="47" t="s">
        <v>800</v>
      </c>
      <c r="E310" s="48">
        <v>41500.0</v>
      </c>
      <c r="F310" s="68" t="s">
        <v>801</v>
      </c>
      <c r="G310" s="47" t="s">
        <v>75</v>
      </c>
      <c r="H310" s="46" t="str">
        <f t="shared" si="4"/>
        <v>28-19</v>
      </c>
      <c r="I310" s="45"/>
      <c r="J310" s="49"/>
      <c r="K310" s="48" t="s">
        <v>50</v>
      </c>
      <c r="L310" s="68" t="s">
        <v>745</v>
      </c>
      <c r="M310" s="50" t="s">
        <v>63</v>
      </c>
    </row>
    <row r="311" ht="27.0" hidden="1" customHeight="1">
      <c r="A311" s="163" t="s">
        <v>802</v>
      </c>
      <c r="B311" s="161" t="s">
        <v>740</v>
      </c>
      <c r="C311" s="161" t="s">
        <v>758</v>
      </c>
      <c r="D311" s="47" t="s">
        <v>803</v>
      </c>
      <c r="E311" s="60">
        <v>53000.0</v>
      </c>
      <c r="F311" s="122"/>
      <c r="G311" s="57" t="s">
        <v>75</v>
      </c>
      <c r="H311" s="58" t="str">
        <f t="shared" si="4"/>
        <v>28-20</v>
      </c>
      <c r="I311" s="59"/>
      <c r="J311" s="122"/>
      <c r="K311" s="60" t="s">
        <v>50</v>
      </c>
      <c r="L311" s="61" t="s">
        <v>745</v>
      </c>
      <c r="M311" s="62" t="s">
        <v>63</v>
      </c>
    </row>
    <row r="312" ht="27.0" hidden="1" customHeight="1">
      <c r="A312" s="76" t="s">
        <v>804</v>
      </c>
      <c r="B312" s="159" t="s">
        <v>740</v>
      </c>
      <c r="C312" s="159" t="s">
        <v>758</v>
      </c>
      <c r="D312" s="47" t="s">
        <v>805</v>
      </c>
      <c r="E312" s="48">
        <v>56500.0</v>
      </c>
      <c r="F312" s="49"/>
      <c r="G312" s="47" t="s">
        <v>55</v>
      </c>
      <c r="H312" s="46" t="str">
        <f t="shared" si="4"/>
        <v>28-21</v>
      </c>
      <c r="I312" s="45"/>
      <c r="J312" s="49"/>
      <c r="K312" s="48" t="s">
        <v>50</v>
      </c>
      <c r="L312" s="68" t="s">
        <v>745</v>
      </c>
      <c r="M312" s="50" t="s">
        <v>63</v>
      </c>
    </row>
    <row r="313" ht="27.0" hidden="1" customHeight="1">
      <c r="A313" s="163" t="s">
        <v>806</v>
      </c>
      <c r="B313" s="161" t="s">
        <v>740</v>
      </c>
      <c r="C313" s="161" t="s">
        <v>758</v>
      </c>
      <c r="D313" s="47" t="s">
        <v>807</v>
      </c>
      <c r="E313" s="60">
        <v>45000.0</v>
      </c>
      <c r="F313" s="122"/>
      <c r="G313" s="57" t="s">
        <v>55</v>
      </c>
      <c r="H313" s="58" t="str">
        <f t="shared" si="4"/>
        <v>28-22</v>
      </c>
      <c r="I313" s="59"/>
      <c r="J313" s="122"/>
      <c r="K313" s="60" t="s">
        <v>50</v>
      </c>
      <c r="L313" s="61" t="s">
        <v>745</v>
      </c>
      <c r="M313" s="62" t="s">
        <v>63</v>
      </c>
    </row>
    <row r="314" ht="27.0" hidden="1" customHeight="1">
      <c r="A314" s="76" t="s">
        <v>808</v>
      </c>
      <c r="B314" s="159" t="s">
        <v>740</v>
      </c>
      <c r="C314" s="159" t="s">
        <v>758</v>
      </c>
      <c r="D314" s="47" t="s">
        <v>809</v>
      </c>
      <c r="E314" s="48">
        <v>15500.0</v>
      </c>
      <c r="F314" s="49"/>
      <c r="G314" s="47" t="s">
        <v>75</v>
      </c>
      <c r="H314" s="46" t="str">
        <f t="shared" si="4"/>
        <v>28-23</v>
      </c>
      <c r="I314" s="45"/>
      <c r="J314" s="49"/>
      <c r="K314" s="48" t="s">
        <v>50</v>
      </c>
      <c r="L314" s="68" t="s">
        <v>745</v>
      </c>
      <c r="M314" s="50" t="s">
        <v>63</v>
      </c>
    </row>
    <row r="315" ht="27.0" hidden="1" customHeight="1">
      <c r="A315" s="163" t="s">
        <v>810</v>
      </c>
      <c r="B315" s="161" t="s">
        <v>740</v>
      </c>
      <c r="C315" s="161" t="s">
        <v>783</v>
      </c>
      <c r="D315" s="47" t="s">
        <v>811</v>
      </c>
      <c r="E315" s="60">
        <v>53000.0</v>
      </c>
      <c r="F315" s="122"/>
      <c r="G315" s="57" t="s">
        <v>75</v>
      </c>
      <c r="H315" s="58" t="str">
        <f t="shared" si="4"/>
        <v>28-24</v>
      </c>
      <c r="I315" s="59"/>
      <c r="J315" s="122"/>
      <c r="K315" s="60" t="s">
        <v>50</v>
      </c>
      <c r="L315" s="61" t="s">
        <v>745</v>
      </c>
      <c r="M315" s="62" t="s">
        <v>63</v>
      </c>
    </row>
    <row r="316" ht="27.0" hidden="1" customHeight="1">
      <c r="A316" s="76" t="s">
        <v>812</v>
      </c>
      <c r="B316" s="159" t="s">
        <v>740</v>
      </c>
      <c r="C316" s="159" t="s">
        <v>783</v>
      </c>
      <c r="D316" s="47" t="s">
        <v>813</v>
      </c>
      <c r="E316" s="48">
        <v>64000.0</v>
      </c>
      <c r="F316" s="49"/>
      <c r="G316" s="47" t="s">
        <v>75</v>
      </c>
      <c r="H316" s="46" t="str">
        <f t="shared" si="4"/>
        <v>28-25</v>
      </c>
      <c r="I316" s="45"/>
      <c r="J316" s="49"/>
      <c r="K316" s="48" t="s">
        <v>50</v>
      </c>
      <c r="L316" s="68" t="s">
        <v>745</v>
      </c>
      <c r="M316" s="50" t="s">
        <v>63</v>
      </c>
    </row>
    <row r="317" ht="27.0" hidden="1" customHeight="1">
      <c r="A317" s="163" t="s">
        <v>814</v>
      </c>
      <c r="B317" s="161" t="s">
        <v>740</v>
      </c>
      <c r="C317" s="161" t="s">
        <v>783</v>
      </c>
      <c r="D317" s="47" t="s">
        <v>815</v>
      </c>
      <c r="E317" s="60">
        <v>20000.0</v>
      </c>
      <c r="F317" s="61" t="s">
        <v>816</v>
      </c>
      <c r="G317" s="57" t="s">
        <v>75</v>
      </c>
      <c r="H317" s="58" t="str">
        <f t="shared" si="4"/>
        <v>28-26</v>
      </c>
      <c r="I317" s="59"/>
      <c r="J317" s="122"/>
      <c r="K317" s="60" t="s">
        <v>50</v>
      </c>
      <c r="L317" s="61" t="s">
        <v>745</v>
      </c>
      <c r="M317" s="62" t="s">
        <v>63</v>
      </c>
    </row>
    <row r="318" ht="27.0" hidden="1" customHeight="1">
      <c r="A318" s="76" t="s">
        <v>817</v>
      </c>
      <c r="B318" s="159" t="s">
        <v>740</v>
      </c>
      <c r="C318" s="159" t="s">
        <v>758</v>
      </c>
      <c r="D318" s="47" t="s">
        <v>818</v>
      </c>
      <c r="E318" s="48">
        <v>41500.0</v>
      </c>
      <c r="F318" s="49"/>
      <c r="G318" s="47" t="s">
        <v>55</v>
      </c>
      <c r="H318" s="46" t="str">
        <f t="shared" si="4"/>
        <v>28-27</v>
      </c>
      <c r="I318" s="45"/>
      <c r="J318" s="49"/>
      <c r="K318" s="48" t="s">
        <v>50</v>
      </c>
      <c r="L318" s="68" t="s">
        <v>745</v>
      </c>
      <c r="M318" s="50" t="s">
        <v>63</v>
      </c>
    </row>
    <row r="319" ht="27.0" hidden="1" customHeight="1">
      <c r="A319" s="163" t="s">
        <v>819</v>
      </c>
      <c r="B319" s="161" t="s">
        <v>740</v>
      </c>
      <c r="C319" s="161" t="s">
        <v>758</v>
      </c>
      <c r="D319" s="47" t="s">
        <v>820</v>
      </c>
      <c r="E319" s="60">
        <v>39000.0</v>
      </c>
      <c r="F319" s="122"/>
      <c r="G319" s="57" t="s">
        <v>55</v>
      </c>
      <c r="H319" s="58" t="str">
        <f t="shared" si="4"/>
        <v>28-28</v>
      </c>
      <c r="I319" s="59"/>
      <c r="J319" s="122"/>
      <c r="K319" s="60" t="s">
        <v>50</v>
      </c>
      <c r="L319" s="61" t="s">
        <v>745</v>
      </c>
      <c r="M319" s="62" t="s">
        <v>63</v>
      </c>
    </row>
    <row r="320" ht="27.0" hidden="1" customHeight="1">
      <c r="A320" s="76" t="s">
        <v>821</v>
      </c>
      <c r="B320" s="159" t="s">
        <v>740</v>
      </c>
      <c r="C320" s="159" t="s">
        <v>758</v>
      </c>
      <c r="D320" s="47" t="s">
        <v>822</v>
      </c>
      <c r="E320" s="48">
        <v>20000.0</v>
      </c>
      <c r="F320" s="68" t="s">
        <v>823</v>
      </c>
      <c r="G320" s="47" t="s">
        <v>55</v>
      </c>
      <c r="H320" s="46" t="str">
        <f t="shared" si="4"/>
        <v>28-29</v>
      </c>
      <c r="I320" s="45"/>
      <c r="J320" s="49"/>
      <c r="K320" s="48" t="s">
        <v>50</v>
      </c>
      <c r="L320" s="68" t="s">
        <v>745</v>
      </c>
      <c r="M320" s="50" t="s">
        <v>63</v>
      </c>
    </row>
    <row r="321" ht="27.0" hidden="1" customHeight="1">
      <c r="A321" s="163" t="s">
        <v>824</v>
      </c>
      <c r="B321" s="161" t="s">
        <v>740</v>
      </c>
      <c r="C321" s="161" t="s">
        <v>783</v>
      </c>
      <c r="D321" s="47" t="s">
        <v>825</v>
      </c>
      <c r="E321" s="60">
        <v>12000.0</v>
      </c>
      <c r="F321" s="122"/>
      <c r="G321" s="57" t="s">
        <v>75</v>
      </c>
      <c r="H321" s="58" t="str">
        <f t="shared" si="4"/>
        <v>28-30</v>
      </c>
      <c r="I321" s="59"/>
      <c r="J321" s="122"/>
      <c r="K321" s="60" t="s">
        <v>50</v>
      </c>
      <c r="L321" s="61" t="s">
        <v>745</v>
      </c>
      <c r="M321" s="62" t="s">
        <v>63</v>
      </c>
    </row>
    <row r="322" ht="27.0" hidden="1" customHeight="1">
      <c r="A322" s="76" t="s">
        <v>826</v>
      </c>
      <c r="B322" s="159" t="s">
        <v>740</v>
      </c>
      <c r="C322" s="159" t="s">
        <v>783</v>
      </c>
      <c r="D322" s="47" t="s">
        <v>827</v>
      </c>
      <c r="E322" s="48">
        <v>52500.0</v>
      </c>
      <c r="F322" s="68" t="s">
        <v>828</v>
      </c>
      <c r="G322" s="47" t="s">
        <v>75</v>
      </c>
      <c r="H322" s="46" t="str">
        <f t="shared" si="4"/>
        <v>28-31</v>
      </c>
      <c r="I322" s="45"/>
      <c r="J322" s="49"/>
      <c r="K322" s="48" t="s">
        <v>50</v>
      </c>
      <c r="L322" s="68" t="s">
        <v>745</v>
      </c>
      <c r="M322" s="50" t="s">
        <v>63</v>
      </c>
    </row>
    <row r="323" ht="27.0" hidden="1" customHeight="1">
      <c r="A323" s="163" t="s">
        <v>829</v>
      </c>
      <c r="B323" s="161" t="s">
        <v>740</v>
      </c>
      <c r="C323" s="161" t="s">
        <v>758</v>
      </c>
      <c r="D323" s="47" t="s">
        <v>830</v>
      </c>
      <c r="E323" s="60">
        <v>31500.0</v>
      </c>
      <c r="F323" s="61" t="s">
        <v>831</v>
      </c>
      <c r="G323" s="57" t="s">
        <v>282</v>
      </c>
      <c r="H323" s="58" t="str">
        <f t="shared" si="4"/>
        <v>28-32</v>
      </c>
      <c r="I323" s="59"/>
      <c r="J323" s="122"/>
      <c r="K323" s="60" t="s">
        <v>50</v>
      </c>
      <c r="L323" s="61" t="s">
        <v>745</v>
      </c>
      <c r="M323" s="62" t="s">
        <v>63</v>
      </c>
    </row>
    <row r="324" ht="24.75" hidden="1" customHeight="1">
      <c r="A324" s="162" t="s">
        <v>832</v>
      </c>
      <c r="B324" s="159" t="s">
        <v>833</v>
      </c>
      <c r="C324" s="64"/>
      <c r="D324" s="41"/>
      <c r="E324" s="66"/>
      <c r="F324" s="71"/>
      <c r="G324" s="45"/>
      <c r="H324" s="46"/>
      <c r="I324" s="49"/>
      <c r="J324" s="49"/>
      <c r="K324" s="48"/>
      <c r="L324" s="49"/>
      <c r="M324" s="49"/>
    </row>
    <row r="325" ht="24.75" hidden="1" customHeight="1">
      <c r="A325" s="160" t="s">
        <v>834</v>
      </c>
      <c r="B325" s="161" t="s">
        <v>833</v>
      </c>
      <c r="C325" s="53" t="s">
        <v>371</v>
      </c>
      <c r="D325" s="52" t="s">
        <v>835</v>
      </c>
      <c r="E325" s="55">
        <v>23400.0</v>
      </c>
      <c r="F325" s="69" t="s">
        <v>382</v>
      </c>
      <c r="G325" s="59" t="s">
        <v>55</v>
      </c>
      <c r="H325" s="58" t="str">
        <f t="shared" ref="H325:H326" si="5">A325</f>
        <v>29-01</v>
      </c>
      <c r="I325" s="122"/>
      <c r="J325" s="122"/>
      <c r="K325" s="60" t="s">
        <v>50</v>
      </c>
      <c r="L325" s="61" t="s">
        <v>57</v>
      </c>
      <c r="M325" s="122"/>
    </row>
    <row r="326" ht="24.75" customHeight="1">
      <c r="A326" s="162" t="s">
        <v>836</v>
      </c>
      <c r="B326" s="159" t="s">
        <v>833</v>
      </c>
      <c r="C326" s="64" t="s">
        <v>371</v>
      </c>
      <c r="D326" s="41" t="s">
        <v>837</v>
      </c>
      <c r="E326" s="66">
        <v>27800.0</v>
      </c>
      <c r="F326" s="71" t="s">
        <v>382</v>
      </c>
      <c r="G326" s="45" t="s">
        <v>55</v>
      </c>
      <c r="H326" s="46" t="str">
        <f t="shared" si="5"/>
        <v>29-02</v>
      </c>
      <c r="I326" s="49"/>
      <c r="J326" s="49"/>
      <c r="K326" s="48" t="s">
        <v>50</v>
      </c>
      <c r="L326" s="49"/>
      <c r="M326" s="49"/>
    </row>
    <row r="327" ht="24.75" customHeight="1">
      <c r="A327" s="160" t="s">
        <v>106</v>
      </c>
      <c r="B327" s="161"/>
      <c r="C327" s="52" t="s">
        <v>728</v>
      </c>
      <c r="D327" s="60" t="s">
        <v>838</v>
      </c>
      <c r="E327" s="60"/>
      <c r="F327" s="122"/>
      <c r="G327" s="122"/>
      <c r="H327" s="122"/>
      <c r="I327" s="122"/>
      <c r="J327" s="122"/>
      <c r="K327" s="122"/>
      <c r="L327" s="122"/>
      <c r="M327" s="122"/>
    </row>
    <row r="328" ht="24.75" customHeight="1">
      <c r="A328" s="162" t="s">
        <v>839</v>
      </c>
      <c r="B328" s="159" t="s">
        <v>840</v>
      </c>
      <c r="C328" s="41"/>
      <c r="D328" s="164" t="s">
        <v>841</v>
      </c>
      <c r="E328" s="48"/>
      <c r="F328" s="49"/>
      <c r="G328" s="49"/>
      <c r="H328" s="49"/>
      <c r="I328" s="49"/>
      <c r="J328" s="49"/>
      <c r="K328" s="49"/>
      <c r="L328" s="49"/>
      <c r="M328" s="49"/>
    </row>
    <row r="329" ht="24.75" customHeight="1">
      <c r="A329" s="160" t="s">
        <v>842</v>
      </c>
      <c r="B329" s="161" t="s">
        <v>840</v>
      </c>
      <c r="C329" s="52" t="s">
        <v>841</v>
      </c>
      <c r="D329" s="60" t="s">
        <v>843</v>
      </c>
      <c r="E329" s="60">
        <v>47998.0</v>
      </c>
      <c r="F329" s="122"/>
      <c r="G329" s="122"/>
      <c r="H329" s="122"/>
      <c r="I329" s="122"/>
      <c r="J329" s="122"/>
      <c r="K329" s="122"/>
      <c r="L329" s="61" t="s">
        <v>844</v>
      </c>
      <c r="M329" s="122"/>
    </row>
    <row r="330" ht="24.75" customHeight="1">
      <c r="A330" s="162" t="s">
        <v>845</v>
      </c>
      <c r="B330" s="159" t="s">
        <v>840</v>
      </c>
      <c r="C330" s="41" t="s">
        <v>841</v>
      </c>
      <c r="D330" s="48" t="s">
        <v>846</v>
      </c>
      <c r="E330" s="48">
        <v>115071.0</v>
      </c>
      <c r="F330" s="49"/>
      <c r="G330" s="49"/>
      <c r="H330" s="49"/>
      <c r="I330" s="49"/>
      <c r="J330" s="49"/>
      <c r="K330" s="49"/>
      <c r="L330" s="68" t="s">
        <v>844</v>
      </c>
      <c r="M330" s="49"/>
    </row>
    <row r="331" ht="24.75" customHeight="1">
      <c r="A331" s="160" t="s">
        <v>847</v>
      </c>
      <c r="B331" s="161" t="s">
        <v>840</v>
      </c>
      <c r="C331" s="52" t="s">
        <v>841</v>
      </c>
      <c r="D331" s="60" t="s">
        <v>848</v>
      </c>
      <c r="E331" s="60">
        <v>95829.0</v>
      </c>
      <c r="F331" s="122"/>
      <c r="G331" s="122"/>
      <c r="H331" s="122"/>
      <c r="I331" s="122"/>
      <c r="J331" s="122"/>
      <c r="K331" s="122"/>
      <c r="L331" s="61" t="s">
        <v>844</v>
      </c>
      <c r="M331" s="122"/>
    </row>
    <row r="332" ht="24.75" customHeight="1">
      <c r="A332" s="162" t="s">
        <v>849</v>
      </c>
      <c r="B332" s="159" t="s">
        <v>840</v>
      </c>
      <c r="C332" s="41" t="s">
        <v>841</v>
      </c>
      <c r="D332" s="48" t="s">
        <v>850</v>
      </c>
      <c r="E332" s="48">
        <v>95829.0</v>
      </c>
      <c r="F332" s="49"/>
      <c r="G332" s="49"/>
      <c r="H332" s="49"/>
      <c r="I332" s="49"/>
      <c r="J332" s="49"/>
      <c r="K332" s="49"/>
      <c r="L332" s="68" t="s">
        <v>844</v>
      </c>
      <c r="M332" s="49"/>
    </row>
    <row r="333" ht="24.75" customHeight="1">
      <c r="A333" s="160" t="s">
        <v>851</v>
      </c>
      <c r="B333" s="161" t="s">
        <v>840</v>
      </c>
      <c r="C333" s="52" t="s">
        <v>841</v>
      </c>
      <c r="D333" s="60" t="s">
        <v>852</v>
      </c>
      <c r="E333" s="60">
        <v>47998.0</v>
      </c>
      <c r="F333" s="122"/>
      <c r="G333" s="122"/>
      <c r="H333" s="122"/>
      <c r="I333" s="122"/>
      <c r="J333" s="122"/>
      <c r="K333" s="122"/>
      <c r="L333" s="61" t="s">
        <v>844</v>
      </c>
      <c r="M333" s="122"/>
    </row>
    <row r="334" ht="24.75" customHeight="1">
      <c r="A334" s="162" t="s">
        <v>853</v>
      </c>
      <c r="B334" s="159" t="s">
        <v>840</v>
      </c>
      <c r="C334" s="41" t="s">
        <v>841</v>
      </c>
      <c r="D334" s="48" t="s">
        <v>854</v>
      </c>
      <c r="E334" s="48">
        <v>47998.0</v>
      </c>
      <c r="F334" s="49"/>
      <c r="G334" s="49"/>
      <c r="H334" s="49"/>
      <c r="I334" s="49"/>
      <c r="J334" s="49"/>
      <c r="K334" s="49"/>
      <c r="L334" s="68" t="s">
        <v>844</v>
      </c>
      <c r="M334" s="49"/>
    </row>
    <row r="335" ht="24.75" customHeight="1">
      <c r="A335" s="160" t="s">
        <v>855</v>
      </c>
      <c r="B335" s="161" t="s">
        <v>840</v>
      </c>
      <c r="C335" s="52"/>
      <c r="D335" s="60" t="s">
        <v>856</v>
      </c>
      <c r="E335" s="60"/>
      <c r="F335" s="122"/>
      <c r="G335" s="122"/>
      <c r="H335" s="122"/>
      <c r="I335" s="122"/>
      <c r="J335" s="122"/>
      <c r="K335" s="122"/>
      <c r="L335" s="122"/>
      <c r="M335" s="122"/>
    </row>
    <row r="336" ht="24.75" customHeight="1">
      <c r="A336" s="162" t="s">
        <v>857</v>
      </c>
      <c r="B336" s="159" t="s">
        <v>840</v>
      </c>
      <c r="C336" s="41" t="s">
        <v>858</v>
      </c>
      <c r="D336" s="48" t="s">
        <v>859</v>
      </c>
      <c r="E336" s="48">
        <v>48514.0</v>
      </c>
      <c r="F336" s="49"/>
      <c r="G336" s="49"/>
      <c r="H336" s="49"/>
      <c r="I336" s="49"/>
      <c r="J336" s="49"/>
      <c r="K336" s="49"/>
      <c r="L336" s="68" t="s">
        <v>844</v>
      </c>
      <c r="M336" s="49"/>
    </row>
    <row r="337" ht="24.75" customHeight="1">
      <c r="A337" s="160" t="s">
        <v>860</v>
      </c>
      <c r="B337" s="161" t="s">
        <v>840</v>
      </c>
      <c r="C337" s="52" t="s">
        <v>858</v>
      </c>
      <c r="D337" s="60" t="s">
        <v>861</v>
      </c>
      <c r="E337" s="60">
        <v>50939.0</v>
      </c>
      <c r="F337" s="122"/>
      <c r="G337" s="122"/>
      <c r="H337" s="122"/>
      <c r="I337" s="122"/>
      <c r="J337" s="122"/>
      <c r="K337" s="122"/>
      <c r="L337" s="61" t="s">
        <v>844</v>
      </c>
      <c r="M337" s="122"/>
    </row>
    <row r="338" ht="24.75" customHeight="1">
      <c r="A338" s="162" t="s">
        <v>862</v>
      </c>
      <c r="B338" s="159" t="s">
        <v>840</v>
      </c>
      <c r="C338" s="41"/>
      <c r="D338" s="41" t="s">
        <v>863</v>
      </c>
      <c r="E338" s="48"/>
      <c r="F338" s="49"/>
      <c r="G338" s="49"/>
      <c r="H338" s="49"/>
      <c r="I338" s="49"/>
      <c r="J338" s="49"/>
      <c r="K338" s="49"/>
      <c r="L338" s="68" t="s">
        <v>844</v>
      </c>
      <c r="M338" s="49"/>
    </row>
    <row r="339" ht="24.75" customHeight="1">
      <c r="A339" s="160" t="s">
        <v>864</v>
      </c>
      <c r="B339" s="161" t="s">
        <v>840</v>
      </c>
      <c r="C339" s="52" t="s">
        <v>863</v>
      </c>
      <c r="D339" s="60" t="s">
        <v>865</v>
      </c>
      <c r="E339" s="60">
        <v>55133.0</v>
      </c>
      <c r="F339" s="122"/>
      <c r="G339" s="122"/>
      <c r="H339" s="122"/>
      <c r="I339" s="122"/>
      <c r="J339" s="122"/>
      <c r="K339" s="122"/>
      <c r="L339" s="61" t="s">
        <v>844</v>
      </c>
      <c r="M339" s="122"/>
    </row>
    <row r="340" ht="24.75" customHeight="1">
      <c r="A340" s="162" t="s">
        <v>866</v>
      </c>
      <c r="B340" s="159" t="s">
        <v>840</v>
      </c>
      <c r="C340" s="41" t="s">
        <v>863</v>
      </c>
      <c r="D340" s="48" t="s">
        <v>867</v>
      </c>
      <c r="E340" s="48">
        <v>53823.0</v>
      </c>
      <c r="F340" s="49"/>
      <c r="G340" s="49"/>
      <c r="H340" s="49"/>
      <c r="I340" s="49"/>
      <c r="J340" s="49"/>
      <c r="K340" s="49"/>
      <c r="L340" s="68" t="s">
        <v>844</v>
      </c>
      <c r="M340" s="49"/>
    </row>
    <row r="341" ht="24.75" customHeight="1">
      <c r="A341" s="160" t="s">
        <v>868</v>
      </c>
      <c r="B341" s="161" t="s">
        <v>840</v>
      </c>
      <c r="C341" s="52" t="s">
        <v>863</v>
      </c>
      <c r="D341" s="60" t="s">
        <v>869</v>
      </c>
      <c r="E341" s="60">
        <v>13176.0</v>
      </c>
      <c r="F341" s="122"/>
      <c r="G341" s="122"/>
      <c r="H341" s="122"/>
      <c r="I341" s="122"/>
      <c r="J341" s="122"/>
      <c r="K341" s="122"/>
      <c r="L341" s="61" t="s">
        <v>844</v>
      </c>
      <c r="M341" s="122"/>
    </row>
    <row r="342" ht="24.75" customHeight="1">
      <c r="A342" s="162" t="s">
        <v>870</v>
      </c>
      <c r="B342" s="159" t="s">
        <v>840</v>
      </c>
      <c r="C342" s="41" t="s">
        <v>863</v>
      </c>
      <c r="D342" s="48" t="s">
        <v>871</v>
      </c>
      <c r="E342" s="48">
        <v>12919.0</v>
      </c>
      <c r="F342" s="49"/>
      <c r="G342" s="49"/>
      <c r="H342" s="49"/>
      <c r="I342" s="49"/>
      <c r="J342" s="49"/>
      <c r="K342" s="49"/>
      <c r="L342" s="68" t="s">
        <v>844</v>
      </c>
      <c r="M342" s="49"/>
    </row>
    <row r="343" ht="24.75" customHeight="1">
      <c r="A343" s="160" t="s">
        <v>872</v>
      </c>
      <c r="B343" s="161" t="s">
        <v>840</v>
      </c>
      <c r="C343" s="52"/>
      <c r="D343" s="60" t="s">
        <v>873</v>
      </c>
      <c r="E343" s="60"/>
      <c r="F343" s="122"/>
      <c r="G343" s="122"/>
      <c r="H343" s="122"/>
      <c r="I343" s="122"/>
      <c r="J343" s="122"/>
      <c r="K343" s="122"/>
      <c r="L343" s="61" t="s">
        <v>844</v>
      </c>
      <c r="M343" s="122"/>
    </row>
    <row r="344" ht="24.75" customHeight="1">
      <c r="A344" s="162" t="s">
        <v>874</v>
      </c>
      <c r="B344" s="159" t="s">
        <v>840</v>
      </c>
      <c r="C344" s="41" t="s">
        <v>875</v>
      </c>
      <c r="D344" s="48" t="s">
        <v>876</v>
      </c>
      <c r="E344" s="48">
        <v>44066.0</v>
      </c>
      <c r="F344" s="49"/>
      <c r="G344" s="49"/>
      <c r="H344" s="49"/>
      <c r="I344" s="49"/>
      <c r="J344" s="49"/>
      <c r="K344" s="49"/>
      <c r="L344" s="68" t="s">
        <v>844</v>
      </c>
      <c r="M344" s="49"/>
    </row>
    <row r="345" ht="24.75" customHeight="1">
      <c r="A345" s="160" t="s">
        <v>877</v>
      </c>
      <c r="B345" s="161" t="s">
        <v>840</v>
      </c>
      <c r="C345" s="52" t="s">
        <v>875</v>
      </c>
      <c r="D345" s="60" t="s">
        <v>878</v>
      </c>
      <c r="E345" s="60">
        <v>44066.0</v>
      </c>
      <c r="F345" s="122"/>
      <c r="G345" s="122"/>
      <c r="H345" s="122"/>
      <c r="I345" s="122"/>
      <c r="J345" s="122"/>
      <c r="K345" s="122"/>
      <c r="L345" s="61" t="s">
        <v>844</v>
      </c>
      <c r="M345" s="122"/>
    </row>
    <row r="346" ht="24.75" customHeight="1">
      <c r="A346" s="162" t="s">
        <v>879</v>
      </c>
      <c r="B346" s="159" t="s">
        <v>840</v>
      </c>
      <c r="C346" s="41" t="s">
        <v>875</v>
      </c>
      <c r="D346" s="48" t="s">
        <v>880</v>
      </c>
      <c r="E346" s="48">
        <v>44066.0</v>
      </c>
      <c r="F346" s="49"/>
      <c r="G346" s="49"/>
      <c r="H346" s="49"/>
      <c r="I346" s="49"/>
      <c r="J346" s="49"/>
      <c r="K346" s="49"/>
      <c r="L346" s="68" t="s">
        <v>844</v>
      </c>
      <c r="M346" s="49"/>
    </row>
    <row r="347" ht="24.75" customHeight="1">
      <c r="A347" s="160"/>
      <c r="B347" s="161" t="s">
        <v>840</v>
      </c>
      <c r="C347" s="52"/>
      <c r="D347" s="60"/>
      <c r="E347" s="60"/>
      <c r="F347" s="122"/>
      <c r="G347" s="122"/>
      <c r="H347" s="122"/>
      <c r="I347" s="122"/>
      <c r="J347" s="122"/>
      <c r="K347" s="122"/>
      <c r="L347" s="61"/>
      <c r="M347" s="122"/>
    </row>
    <row r="348" ht="24.75" customHeight="1">
      <c r="A348" s="162"/>
      <c r="B348" s="159" t="s">
        <v>840</v>
      </c>
      <c r="C348" s="41"/>
      <c r="D348" s="48"/>
      <c r="E348" s="48"/>
      <c r="F348" s="49"/>
      <c r="G348" s="49"/>
      <c r="H348" s="49"/>
      <c r="I348" s="49"/>
      <c r="J348" s="49"/>
      <c r="K348" s="49"/>
      <c r="L348" s="68"/>
      <c r="M348" s="49"/>
    </row>
    <row r="349" ht="24.75" customHeight="1">
      <c r="A349" s="160" t="s">
        <v>881</v>
      </c>
      <c r="B349" s="161" t="s">
        <v>840</v>
      </c>
      <c r="C349" s="52"/>
      <c r="D349" s="52" t="s">
        <v>882</v>
      </c>
      <c r="E349" s="60"/>
      <c r="F349" s="122"/>
      <c r="G349" s="122"/>
      <c r="H349" s="122"/>
      <c r="I349" s="122"/>
      <c r="J349" s="122"/>
      <c r="K349" s="122"/>
      <c r="L349" s="61" t="s">
        <v>844</v>
      </c>
      <c r="M349" s="122"/>
    </row>
    <row r="350" ht="24.75" customHeight="1">
      <c r="A350" s="162" t="s">
        <v>883</v>
      </c>
      <c r="B350" s="159" t="s">
        <v>840</v>
      </c>
      <c r="C350" s="41" t="s">
        <v>882</v>
      </c>
      <c r="D350" s="48" t="s">
        <v>884</v>
      </c>
      <c r="E350" s="48">
        <v>51169.0</v>
      </c>
      <c r="F350" s="49"/>
      <c r="G350" s="49"/>
      <c r="H350" s="49"/>
      <c r="I350" s="49"/>
      <c r="J350" s="49"/>
      <c r="K350" s="49"/>
      <c r="L350" s="68" t="s">
        <v>844</v>
      </c>
      <c r="M350" s="49"/>
    </row>
    <row r="351" ht="24.75" customHeight="1">
      <c r="A351" s="160"/>
      <c r="B351" s="161" t="s">
        <v>840</v>
      </c>
      <c r="C351" s="52"/>
      <c r="D351" s="60"/>
      <c r="E351" s="60"/>
      <c r="F351" s="122"/>
      <c r="G351" s="122"/>
      <c r="H351" s="122"/>
      <c r="I351" s="122"/>
      <c r="J351" s="122"/>
      <c r="K351" s="122"/>
      <c r="L351" s="61" t="s">
        <v>844</v>
      </c>
      <c r="M351" s="122"/>
    </row>
    <row r="352" ht="24.75" customHeight="1">
      <c r="A352" s="162" t="s">
        <v>885</v>
      </c>
      <c r="B352" s="159" t="s">
        <v>840</v>
      </c>
      <c r="C352" s="41"/>
      <c r="D352" s="41" t="s">
        <v>886</v>
      </c>
      <c r="E352" s="48"/>
      <c r="F352" s="49"/>
      <c r="G352" s="49"/>
      <c r="H352" s="49"/>
      <c r="I352" s="49"/>
      <c r="J352" s="49"/>
      <c r="K352" s="49"/>
      <c r="L352" s="68" t="s">
        <v>844</v>
      </c>
      <c r="M352" s="49"/>
    </row>
    <row r="353" ht="24.75" customHeight="1">
      <c r="A353" s="160" t="s">
        <v>887</v>
      </c>
      <c r="B353" s="161" t="s">
        <v>840</v>
      </c>
      <c r="C353" s="52" t="s">
        <v>886</v>
      </c>
      <c r="D353" s="60" t="s">
        <v>888</v>
      </c>
      <c r="E353" s="60">
        <v>47954.0</v>
      </c>
      <c r="F353" s="122"/>
      <c r="G353" s="122"/>
      <c r="H353" s="122"/>
      <c r="I353" s="122"/>
      <c r="J353" s="122"/>
      <c r="K353" s="122"/>
      <c r="L353" s="61" t="s">
        <v>844</v>
      </c>
      <c r="M353" s="122"/>
    </row>
    <row r="354" ht="24.75" customHeight="1">
      <c r="A354" s="162" t="s">
        <v>889</v>
      </c>
      <c r="B354" s="159" t="s">
        <v>840</v>
      </c>
      <c r="C354" s="41" t="s">
        <v>886</v>
      </c>
      <c r="D354" s="48" t="s">
        <v>890</v>
      </c>
      <c r="E354" s="48">
        <v>51169.0</v>
      </c>
      <c r="F354" s="49"/>
      <c r="G354" s="49"/>
      <c r="H354" s="49"/>
      <c r="I354" s="49"/>
      <c r="J354" s="49"/>
      <c r="K354" s="49"/>
      <c r="L354" s="68" t="s">
        <v>844</v>
      </c>
      <c r="M354" s="49"/>
    </row>
    <row r="355" ht="24.75" customHeight="1">
      <c r="A355" s="160" t="s">
        <v>891</v>
      </c>
      <c r="B355" s="161" t="s">
        <v>840</v>
      </c>
      <c r="C355" s="52" t="s">
        <v>886</v>
      </c>
      <c r="D355" s="60" t="s">
        <v>892</v>
      </c>
      <c r="E355" s="60">
        <v>52662.0</v>
      </c>
      <c r="F355" s="122"/>
      <c r="G355" s="122"/>
      <c r="H355" s="122"/>
      <c r="I355" s="122"/>
      <c r="J355" s="122"/>
      <c r="K355" s="122"/>
      <c r="L355" s="61" t="s">
        <v>844</v>
      </c>
      <c r="M355" s="122"/>
    </row>
    <row r="356" ht="24.75" customHeight="1">
      <c r="A356" s="162" t="s">
        <v>893</v>
      </c>
      <c r="B356" s="159" t="s">
        <v>840</v>
      </c>
      <c r="C356" s="41" t="s">
        <v>886</v>
      </c>
      <c r="D356" s="48" t="s">
        <v>894</v>
      </c>
      <c r="E356" s="48">
        <v>56234.0</v>
      </c>
      <c r="F356" s="49"/>
      <c r="G356" s="49"/>
      <c r="H356" s="49"/>
      <c r="I356" s="49"/>
      <c r="J356" s="49"/>
      <c r="K356" s="49"/>
      <c r="L356" s="68" t="s">
        <v>844</v>
      </c>
      <c r="M356" s="49"/>
    </row>
    <row r="357" ht="24.75" customHeight="1">
      <c r="A357" s="160" t="s">
        <v>895</v>
      </c>
      <c r="B357" s="161" t="s">
        <v>840</v>
      </c>
      <c r="C357" s="52"/>
      <c r="D357" s="52" t="s">
        <v>896</v>
      </c>
      <c r="E357" s="60"/>
      <c r="F357" s="122"/>
      <c r="G357" s="122"/>
      <c r="H357" s="122"/>
      <c r="I357" s="122"/>
      <c r="J357" s="122"/>
      <c r="K357" s="122"/>
      <c r="L357" s="61" t="s">
        <v>844</v>
      </c>
      <c r="M357" s="122"/>
    </row>
    <row r="358" ht="24.75" customHeight="1">
      <c r="A358" s="162" t="s">
        <v>897</v>
      </c>
      <c r="B358" s="159" t="s">
        <v>840</v>
      </c>
      <c r="C358" s="41" t="s">
        <v>896</v>
      </c>
      <c r="D358" s="48" t="s">
        <v>898</v>
      </c>
      <c r="E358" s="48">
        <v>23579.0</v>
      </c>
      <c r="F358" s="68" t="s">
        <v>899</v>
      </c>
      <c r="G358" s="49"/>
      <c r="H358" s="49"/>
      <c r="I358" s="49"/>
      <c r="J358" s="49"/>
      <c r="K358" s="49"/>
      <c r="L358" s="68" t="s">
        <v>844</v>
      </c>
      <c r="M358" s="49"/>
    </row>
    <row r="359" ht="24.75" customHeight="1">
      <c r="A359" s="160" t="s">
        <v>900</v>
      </c>
      <c r="B359" s="161" t="s">
        <v>840</v>
      </c>
      <c r="C359" s="52" t="s">
        <v>896</v>
      </c>
      <c r="D359" s="60" t="s">
        <v>901</v>
      </c>
      <c r="E359" s="60">
        <v>32831.0</v>
      </c>
      <c r="F359" s="61" t="s">
        <v>902</v>
      </c>
      <c r="G359" s="122"/>
      <c r="H359" s="122"/>
      <c r="I359" s="122"/>
      <c r="J359" s="122"/>
      <c r="K359" s="122"/>
      <c r="L359" s="61" t="s">
        <v>844</v>
      </c>
      <c r="M359" s="122"/>
    </row>
    <row r="360" ht="24.75" customHeight="1">
      <c r="A360" s="162" t="s">
        <v>903</v>
      </c>
      <c r="B360" s="159" t="s">
        <v>840</v>
      </c>
      <c r="C360" s="41" t="s">
        <v>896</v>
      </c>
      <c r="D360" s="48" t="s">
        <v>904</v>
      </c>
      <c r="E360" s="48">
        <v>49233.0</v>
      </c>
      <c r="F360" s="68" t="s">
        <v>905</v>
      </c>
      <c r="G360" s="49"/>
      <c r="H360" s="49"/>
      <c r="I360" s="49"/>
      <c r="J360" s="49"/>
      <c r="K360" s="49"/>
      <c r="L360" s="68" t="s">
        <v>844</v>
      </c>
      <c r="M360" s="49"/>
    </row>
    <row r="361" ht="24.75" customHeight="1">
      <c r="A361" s="160" t="s">
        <v>906</v>
      </c>
      <c r="B361" s="161" t="s">
        <v>840</v>
      </c>
      <c r="C361" s="52" t="s">
        <v>896</v>
      </c>
      <c r="D361" s="60" t="s">
        <v>907</v>
      </c>
      <c r="E361" s="60">
        <v>32831.0</v>
      </c>
      <c r="F361" s="61" t="s">
        <v>905</v>
      </c>
      <c r="G361" s="122"/>
      <c r="H361" s="122"/>
      <c r="I361" s="122"/>
      <c r="J361" s="122"/>
      <c r="K361" s="122"/>
      <c r="L361" s="61" t="s">
        <v>844</v>
      </c>
      <c r="M361" s="122"/>
    </row>
    <row r="362" ht="24.75" customHeight="1">
      <c r="A362" s="162" t="s">
        <v>908</v>
      </c>
      <c r="B362" s="159" t="s">
        <v>840</v>
      </c>
      <c r="C362" s="41"/>
      <c r="D362" s="48" t="s">
        <v>909</v>
      </c>
      <c r="E362" s="48"/>
      <c r="F362" s="49"/>
      <c r="G362" s="49"/>
      <c r="H362" s="49"/>
      <c r="I362" s="49"/>
      <c r="J362" s="49"/>
      <c r="K362" s="49"/>
      <c r="L362" s="68" t="s">
        <v>844</v>
      </c>
      <c r="M362" s="49"/>
    </row>
    <row r="363" ht="24.75" customHeight="1">
      <c r="A363" s="160" t="s">
        <v>910</v>
      </c>
      <c r="B363" s="161" t="s">
        <v>840</v>
      </c>
      <c r="C363" s="60" t="s">
        <v>909</v>
      </c>
      <c r="D363" s="60" t="s">
        <v>911</v>
      </c>
      <c r="E363" s="60">
        <v>17113.0</v>
      </c>
      <c r="F363" s="61" t="s">
        <v>912</v>
      </c>
      <c r="G363" s="122"/>
      <c r="H363" s="122"/>
      <c r="I363" s="122"/>
      <c r="J363" s="122"/>
      <c r="K363" s="122"/>
      <c r="L363" s="61" t="s">
        <v>844</v>
      </c>
      <c r="M363" s="122"/>
    </row>
    <row r="364" ht="24.75" customHeight="1">
      <c r="A364" s="162" t="s">
        <v>913</v>
      </c>
      <c r="B364" s="159" t="s">
        <v>840</v>
      </c>
      <c r="C364" s="48" t="s">
        <v>909</v>
      </c>
      <c r="D364" s="48" t="s">
        <v>914</v>
      </c>
      <c r="E364" s="48">
        <v>21675.0</v>
      </c>
      <c r="F364" s="68" t="s">
        <v>912</v>
      </c>
      <c r="G364" s="49"/>
      <c r="H364" s="49"/>
      <c r="I364" s="49"/>
      <c r="J364" s="49"/>
      <c r="K364" s="49"/>
      <c r="L364" s="68" t="s">
        <v>844</v>
      </c>
      <c r="M364" s="49"/>
    </row>
    <row r="365" ht="24.75" customHeight="1">
      <c r="A365" s="160" t="s">
        <v>915</v>
      </c>
      <c r="B365" s="161" t="s">
        <v>840</v>
      </c>
      <c r="C365" s="60" t="s">
        <v>909</v>
      </c>
      <c r="D365" s="60" t="s">
        <v>916</v>
      </c>
      <c r="E365" s="60">
        <v>18419.0</v>
      </c>
      <c r="F365" s="61" t="s">
        <v>912</v>
      </c>
      <c r="G365" s="122"/>
      <c r="H365" s="122"/>
      <c r="I365" s="122"/>
      <c r="J365" s="122"/>
      <c r="K365" s="122"/>
      <c r="L365" s="61" t="s">
        <v>844</v>
      </c>
      <c r="M365" s="122"/>
    </row>
    <row r="366" ht="24.75" customHeight="1">
      <c r="A366" s="162" t="s">
        <v>917</v>
      </c>
      <c r="B366" s="159" t="s">
        <v>840</v>
      </c>
      <c r="C366" s="41"/>
      <c r="D366" s="48" t="s">
        <v>918</v>
      </c>
      <c r="E366" s="48"/>
      <c r="F366" s="49"/>
      <c r="G366" s="49"/>
      <c r="H366" s="49"/>
      <c r="I366" s="49"/>
      <c r="J366" s="49"/>
      <c r="K366" s="49"/>
      <c r="L366" s="68" t="s">
        <v>844</v>
      </c>
      <c r="M366" s="49"/>
    </row>
    <row r="367" ht="24.75" customHeight="1">
      <c r="A367" s="160" t="s">
        <v>919</v>
      </c>
      <c r="B367" s="161" t="s">
        <v>840</v>
      </c>
      <c r="C367" s="60" t="s">
        <v>918</v>
      </c>
      <c r="D367" s="60" t="s">
        <v>920</v>
      </c>
      <c r="E367" s="60">
        <v>283086.0</v>
      </c>
      <c r="F367" s="61" t="s">
        <v>921</v>
      </c>
      <c r="G367" s="122"/>
      <c r="H367" s="122"/>
      <c r="I367" s="122"/>
      <c r="J367" s="122"/>
      <c r="K367" s="122"/>
      <c r="L367" s="61" t="s">
        <v>844</v>
      </c>
      <c r="M367" s="122"/>
    </row>
    <row r="368" ht="24.75" customHeight="1">
      <c r="A368" s="162" t="s">
        <v>922</v>
      </c>
      <c r="B368" s="159" t="s">
        <v>840</v>
      </c>
      <c r="C368" s="48" t="s">
        <v>918</v>
      </c>
      <c r="D368" s="48" t="s">
        <v>923</v>
      </c>
      <c r="E368" s="48">
        <v>143689.0</v>
      </c>
      <c r="F368" s="68" t="s">
        <v>921</v>
      </c>
      <c r="G368" s="49"/>
      <c r="H368" s="49"/>
      <c r="I368" s="49"/>
      <c r="J368" s="49"/>
      <c r="K368" s="49"/>
      <c r="L368" s="68" t="s">
        <v>844</v>
      </c>
      <c r="M368" s="49"/>
    </row>
    <row r="369" ht="24.75" customHeight="1">
      <c r="A369" s="160" t="s">
        <v>924</v>
      </c>
      <c r="B369" s="161" t="s">
        <v>840</v>
      </c>
      <c r="C369" s="60" t="s">
        <v>918</v>
      </c>
      <c r="D369" s="60" t="s">
        <v>925</v>
      </c>
      <c r="E369" s="60">
        <v>383351.0</v>
      </c>
      <c r="F369" s="61" t="s">
        <v>921</v>
      </c>
      <c r="G369" s="122"/>
      <c r="H369" s="122"/>
      <c r="I369" s="122"/>
      <c r="J369" s="122"/>
      <c r="K369" s="122"/>
      <c r="L369" s="61" t="s">
        <v>844</v>
      </c>
      <c r="M369" s="122"/>
    </row>
    <row r="370" ht="24.75" customHeight="1">
      <c r="A370" s="162" t="s">
        <v>926</v>
      </c>
      <c r="B370" s="159" t="s">
        <v>840</v>
      </c>
      <c r="C370" s="48" t="s">
        <v>918</v>
      </c>
      <c r="D370" s="48" t="s">
        <v>927</v>
      </c>
      <c r="E370" s="48">
        <v>69601.0</v>
      </c>
      <c r="F370" s="68" t="s">
        <v>921</v>
      </c>
      <c r="G370" s="49"/>
      <c r="H370" s="49"/>
      <c r="I370" s="49"/>
      <c r="J370" s="49"/>
      <c r="K370" s="49"/>
      <c r="L370" s="68" t="s">
        <v>844</v>
      </c>
      <c r="M370" s="49"/>
    </row>
    <row r="371" ht="24.75" customHeight="1">
      <c r="A371" s="160" t="s">
        <v>928</v>
      </c>
      <c r="B371" s="161" t="s">
        <v>840</v>
      </c>
      <c r="C371" s="60" t="s">
        <v>918</v>
      </c>
      <c r="D371" s="60" t="s">
        <v>929</v>
      </c>
      <c r="E371" s="60">
        <v>119824.0</v>
      </c>
      <c r="F371" s="61" t="s">
        <v>921</v>
      </c>
      <c r="G371" s="122"/>
      <c r="H371" s="122"/>
      <c r="I371" s="122"/>
      <c r="J371" s="122"/>
      <c r="K371" s="122"/>
      <c r="L371" s="61" t="s">
        <v>844</v>
      </c>
      <c r="M371" s="122"/>
    </row>
    <row r="372" ht="24.75" customHeight="1">
      <c r="A372" s="162" t="s">
        <v>930</v>
      </c>
      <c r="B372" s="159" t="s">
        <v>840</v>
      </c>
      <c r="C372" s="48" t="s">
        <v>918</v>
      </c>
      <c r="D372" s="48" t="s">
        <v>931</v>
      </c>
      <c r="E372" s="48">
        <v>119824.0</v>
      </c>
      <c r="F372" s="68" t="s">
        <v>921</v>
      </c>
      <c r="G372" s="49"/>
      <c r="H372" s="49"/>
      <c r="I372" s="49"/>
      <c r="J372" s="49"/>
      <c r="K372" s="49"/>
      <c r="L372" s="68" t="s">
        <v>844</v>
      </c>
      <c r="M372" s="49"/>
    </row>
    <row r="373" ht="24.75" customHeight="1">
      <c r="A373" s="160" t="s">
        <v>932</v>
      </c>
      <c r="B373" s="161" t="s">
        <v>840</v>
      </c>
      <c r="C373" s="60" t="s">
        <v>918</v>
      </c>
      <c r="D373" s="60" t="s">
        <v>933</v>
      </c>
      <c r="E373" s="60">
        <v>101088.0</v>
      </c>
      <c r="F373" s="61" t="s">
        <v>921</v>
      </c>
      <c r="G373" s="122"/>
      <c r="H373" s="122"/>
      <c r="I373" s="122"/>
      <c r="J373" s="122"/>
      <c r="K373" s="122"/>
      <c r="L373" s="61" t="s">
        <v>844</v>
      </c>
      <c r="M373" s="122"/>
    </row>
    <row r="374" ht="24.75" customHeight="1">
      <c r="A374" s="162" t="s">
        <v>934</v>
      </c>
      <c r="B374" s="159" t="s">
        <v>840</v>
      </c>
      <c r="C374" s="48" t="s">
        <v>918</v>
      </c>
      <c r="D374" s="48" t="s">
        <v>935</v>
      </c>
      <c r="E374" s="48">
        <v>201195.0</v>
      </c>
      <c r="F374" s="68" t="s">
        <v>921</v>
      </c>
      <c r="G374" s="49"/>
      <c r="H374" s="49"/>
      <c r="I374" s="49"/>
      <c r="J374" s="49"/>
      <c r="K374" s="49"/>
      <c r="L374" s="68" t="s">
        <v>844</v>
      </c>
      <c r="M374" s="49"/>
    </row>
    <row r="375" ht="24.75" customHeight="1">
      <c r="A375" s="160" t="s">
        <v>936</v>
      </c>
      <c r="B375" s="161" t="s">
        <v>840</v>
      </c>
      <c r="C375" s="60" t="s">
        <v>918</v>
      </c>
      <c r="D375" s="60" t="s">
        <v>937</v>
      </c>
      <c r="E375" s="60">
        <v>804881.0</v>
      </c>
      <c r="F375" s="61" t="s">
        <v>921</v>
      </c>
      <c r="G375" s="122"/>
      <c r="H375" s="122"/>
      <c r="I375" s="122"/>
      <c r="J375" s="122"/>
      <c r="K375" s="122"/>
      <c r="L375" s="61" t="s">
        <v>844</v>
      </c>
      <c r="M375" s="122"/>
    </row>
    <row r="376" ht="24.75" customHeight="1">
      <c r="A376" s="162" t="s">
        <v>938</v>
      </c>
      <c r="B376" s="159" t="s">
        <v>840</v>
      </c>
      <c r="C376" s="48" t="s">
        <v>918</v>
      </c>
      <c r="D376" s="48" t="s">
        <v>939</v>
      </c>
      <c r="E376" s="48">
        <v>1207266.0</v>
      </c>
      <c r="F376" s="68" t="s">
        <v>921</v>
      </c>
      <c r="G376" s="49"/>
      <c r="H376" s="49"/>
      <c r="I376" s="49"/>
      <c r="J376" s="49"/>
      <c r="K376" s="49"/>
      <c r="L376" s="68" t="s">
        <v>844</v>
      </c>
      <c r="M376" s="49"/>
    </row>
    <row r="377" ht="24.75" customHeight="1">
      <c r="A377" s="160" t="s">
        <v>940</v>
      </c>
      <c r="B377" s="161" t="s">
        <v>840</v>
      </c>
      <c r="C377" s="60" t="s">
        <v>918</v>
      </c>
      <c r="D377" s="60" t="s">
        <v>941</v>
      </c>
      <c r="E377" s="60">
        <v>1.0</v>
      </c>
      <c r="F377" s="61" t="s">
        <v>921</v>
      </c>
      <c r="G377" s="122"/>
      <c r="H377" s="122"/>
      <c r="I377" s="122"/>
      <c r="J377" s="122"/>
      <c r="K377" s="122"/>
      <c r="L377" s="61" t="s">
        <v>844</v>
      </c>
      <c r="M377" s="122"/>
    </row>
    <row r="378" ht="24.75" customHeight="1">
      <c r="A378" s="162" t="s">
        <v>942</v>
      </c>
      <c r="B378" s="159" t="s">
        <v>840</v>
      </c>
      <c r="C378" s="41"/>
      <c r="D378" s="48" t="s">
        <v>943</v>
      </c>
      <c r="E378" s="48"/>
      <c r="F378" s="49"/>
      <c r="G378" s="49"/>
      <c r="H378" s="49"/>
      <c r="I378" s="49"/>
      <c r="J378" s="49"/>
      <c r="K378" s="49"/>
      <c r="L378" s="68" t="s">
        <v>844</v>
      </c>
      <c r="M378" s="49"/>
    </row>
    <row r="379" ht="24.75" customHeight="1">
      <c r="A379" s="160" t="s">
        <v>944</v>
      </c>
      <c r="B379" s="161" t="s">
        <v>840</v>
      </c>
      <c r="C379" s="60" t="s">
        <v>943</v>
      </c>
      <c r="D379" s="60" t="s">
        <v>945</v>
      </c>
      <c r="E379" s="60">
        <v>26261.0</v>
      </c>
      <c r="F379" s="61" t="s">
        <v>946</v>
      </c>
      <c r="G379" s="122"/>
      <c r="H379" s="122"/>
      <c r="I379" s="122"/>
      <c r="J379" s="122"/>
      <c r="K379" s="122"/>
      <c r="L379" s="61" t="s">
        <v>844</v>
      </c>
      <c r="M379" s="122"/>
    </row>
    <row r="380" ht="24.75" customHeight="1">
      <c r="A380" s="162" t="s">
        <v>947</v>
      </c>
      <c r="B380" s="159" t="s">
        <v>840</v>
      </c>
      <c r="C380" s="48" t="s">
        <v>943</v>
      </c>
      <c r="D380" s="48" t="s">
        <v>948</v>
      </c>
      <c r="E380" s="48">
        <v>26261.0</v>
      </c>
      <c r="F380" s="68" t="s">
        <v>946</v>
      </c>
      <c r="G380" s="49"/>
      <c r="H380" s="49"/>
      <c r="I380" s="49"/>
      <c r="J380" s="49"/>
      <c r="K380" s="49"/>
      <c r="L380" s="68" t="s">
        <v>844</v>
      </c>
      <c r="M380" s="49"/>
    </row>
    <row r="381" ht="24.75" customHeight="1">
      <c r="A381" s="160" t="s">
        <v>949</v>
      </c>
      <c r="B381" s="161" t="s">
        <v>840</v>
      </c>
      <c r="C381" s="60" t="s">
        <v>943</v>
      </c>
      <c r="D381" s="60" t="s">
        <v>950</v>
      </c>
      <c r="E381" s="60">
        <v>52524.0</v>
      </c>
      <c r="F381" s="61" t="s">
        <v>946</v>
      </c>
      <c r="G381" s="122"/>
      <c r="H381" s="122"/>
      <c r="I381" s="122"/>
      <c r="J381" s="122"/>
      <c r="K381" s="122"/>
      <c r="L381" s="61" t="s">
        <v>844</v>
      </c>
      <c r="M381" s="122"/>
    </row>
    <row r="382" ht="24.75" customHeight="1">
      <c r="A382" s="162" t="s">
        <v>951</v>
      </c>
      <c r="B382" s="159" t="s">
        <v>840</v>
      </c>
      <c r="C382" s="48" t="s">
        <v>943</v>
      </c>
      <c r="D382" s="48" t="s">
        <v>952</v>
      </c>
      <c r="E382" s="48">
        <v>69581.0</v>
      </c>
      <c r="F382" s="68" t="s">
        <v>946</v>
      </c>
      <c r="G382" s="49"/>
      <c r="H382" s="49"/>
      <c r="I382" s="49"/>
      <c r="J382" s="49"/>
      <c r="K382" s="49"/>
      <c r="L382" s="68" t="s">
        <v>844</v>
      </c>
      <c r="M382" s="49"/>
    </row>
    <row r="383" ht="24.75" customHeight="1">
      <c r="A383" s="160" t="s">
        <v>953</v>
      </c>
      <c r="B383" s="161" t="s">
        <v>840</v>
      </c>
      <c r="C383" s="60" t="s">
        <v>943</v>
      </c>
      <c r="D383" s="60" t="s">
        <v>954</v>
      </c>
      <c r="E383" s="60">
        <v>17113.0</v>
      </c>
      <c r="F383" s="61" t="s">
        <v>946</v>
      </c>
      <c r="G383" s="122"/>
      <c r="H383" s="122"/>
      <c r="I383" s="122"/>
      <c r="J383" s="122"/>
      <c r="K383" s="122"/>
      <c r="L383" s="61" t="s">
        <v>844</v>
      </c>
      <c r="M383" s="122"/>
    </row>
    <row r="384" ht="24.75" customHeight="1">
      <c r="A384" s="162" t="s">
        <v>955</v>
      </c>
      <c r="B384" s="159" t="s">
        <v>840</v>
      </c>
      <c r="C384" s="48" t="s">
        <v>943</v>
      </c>
      <c r="D384" s="48" t="s">
        <v>956</v>
      </c>
      <c r="E384" s="48">
        <v>91894.0</v>
      </c>
      <c r="F384" s="68" t="s">
        <v>946</v>
      </c>
      <c r="G384" s="49"/>
      <c r="H384" s="49"/>
      <c r="I384" s="49"/>
      <c r="J384" s="49"/>
      <c r="K384" s="49"/>
      <c r="L384" s="68" t="s">
        <v>844</v>
      </c>
      <c r="M384" s="49"/>
    </row>
    <row r="385" ht="24.75" customHeight="1">
      <c r="A385" s="160" t="s">
        <v>957</v>
      </c>
      <c r="B385" s="161" t="s">
        <v>840</v>
      </c>
      <c r="C385" s="60" t="s">
        <v>943</v>
      </c>
      <c r="D385" s="60" t="s">
        <v>958</v>
      </c>
      <c r="E385" s="60">
        <v>52524.0</v>
      </c>
      <c r="F385" s="61" t="s">
        <v>946</v>
      </c>
      <c r="G385" s="122"/>
      <c r="H385" s="122"/>
      <c r="I385" s="122"/>
      <c r="J385" s="122"/>
      <c r="K385" s="122"/>
      <c r="L385" s="61" t="s">
        <v>844</v>
      </c>
      <c r="M385" s="122"/>
    </row>
    <row r="386" ht="24.75" customHeight="1">
      <c r="A386" s="162" t="s">
        <v>959</v>
      </c>
      <c r="B386" s="159" t="s">
        <v>840</v>
      </c>
      <c r="C386" s="48" t="s">
        <v>943</v>
      </c>
      <c r="D386" s="48" t="s">
        <v>960</v>
      </c>
      <c r="E386" s="48">
        <v>64657.0</v>
      </c>
      <c r="F386" s="68" t="s">
        <v>946</v>
      </c>
      <c r="G386" s="49"/>
      <c r="H386" s="49"/>
      <c r="I386" s="49"/>
      <c r="J386" s="49"/>
      <c r="K386" s="49"/>
      <c r="L386" s="68" t="s">
        <v>844</v>
      </c>
      <c r="M386" s="49"/>
    </row>
    <row r="387" ht="24.75" customHeight="1">
      <c r="A387" s="160" t="s">
        <v>961</v>
      </c>
      <c r="B387" s="161" t="s">
        <v>840</v>
      </c>
      <c r="C387" s="60" t="s">
        <v>943</v>
      </c>
      <c r="D387" s="60" t="s">
        <v>962</v>
      </c>
      <c r="E387" s="60">
        <v>65682.0</v>
      </c>
      <c r="F387" s="61" t="s">
        <v>946</v>
      </c>
      <c r="G387" s="122"/>
      <c r="H387" s="122"/>
      <c r="I387" s="122"/>
      <c r="J387" s="122"/>
      <c r="K387" s="122"/>
      <c r="L387" s="61" t="s">
        <v>844</v>
      </c>
      <c r="M387" s="122"/>
    </row>
    <row r="388" ht="24.75" customHeight="1">
      <c r="A388" s="162" t="s">
        <v>963</v>
      </c>
      <c r="B388" s="159" t="s">
        <v>840</v>
      </c>
      <c r="C388" s="48" t="s">
        <v>943</v>
      </c>
      <c r="D388" s="48" t="s">
        <v>964</v>
      </c>
      <c r="E388" s="48">
        <v>81506.0</v>
      </c>
      <c r="F388" s="68" t="s">
        <v>946</v>
      </c>
      <c r="G388" s="49"/>
      <c r="H388" s="49"/>
      <c r="I388" s="49"/>
      <c r="J388" s="49"/>
      <c r="K388" s="49"/>
      <c r="L388" s="68" t="s">
        <v>844</v>
      </c>
      <c r="M388" s="49"/>
    </row>
    <row r="389" ht="24.75" customHeight="1">
      <c r="A389" s="160" t="s">
        <v>965</v>
      </c>
      <c r="B389" s="161" t="s">
        <v>840</v>
      </c>
      <c r="C389" s="60" t="s">
        <v>943</v>
      </c>
      <c r="D389" s="60" t="s">
        <v>966</v>
      </c>
      <c r="E389" s="60">
        <v>95829.0</v>
      </c>
      <c r="F389" s="61" t="s">
        <v>946</v>
      </c>
      <c r="G389" s="122"/>
      <c r="H389" s="122"/>
      <c r="I389" s="122"/>
      <c r="J389" s="122"/>
      <c r="K389" s="122"/>
      <c r="L389" s="61"/>
      <c r="M389" s="122"/>
    </row>
    <row r="390" ht="24.75" customHeight="1">
      <c r="A390" s="162" t="s">
        <v>967</v>
      </c>
      <c r="B390" s="159" t="s">
        <v>840</v>
      </c>
      <c r="C390" s="48" t="s">
        <v>943</v>
      </c>
      <c r="D390" s="48" t="s">
        <v>968</v>
      </c>
      <c r="E390" s="48">
        <v>119824.0</v>
      </c>
      <c r="F390" s="68" t="s">
        <v>946</v>
      </c>
      <c r="G390" s="49"/>
      <c r="H390" s="49"/>
      <c r="I390" s="49"/>
      <c r="J390" s="49"/>
      <c r="K390" s="49"/>
      <c r="L390" s="68"/>
      <c r="M390" s="49"/>
    </row>
    <row r="391" ht="24.75" customHeight="1">
      <c r="A391" s="160" t="s">
        <v>969</v>
      </c>
      <c r="B391" s="161" t="s">
        <v>840</v>
      </c>
      <c r="C391" s="161"/>
      <c r="D391" s="161" t="s">
        <v>970</v>
      </c>
      <c r="E391" s="60"/>
      <c r="F391" s="122"/>
      <c r="G391" s="122"/>
      <c r="H391" s="122"/>
      <c r="I391" s="122"/>
      <c r="J391" s="122"/>
      <c r="K391" s="122"/>
      <c r="L391" s="61" t="s">
        <v>844</v>
      </c>
      <c r="M391" s="122"/>
    </row>
    <row r="392" ht="24.75" customHeight="1">
      <c r="A392" s="162" t="s">
        <v>971</v>
      </c>
      <c r="B392" s="159" t="s">
        <v>840</v>
      </c>
      <c r="C392" s="159" t="s">
        <v>972</v>
      </c>
      <c r="D392" s="47" t="s">
        <v>973</v>
      </c>
      <c r="E392" s="48">
        <v>201195.0</v>
      </c>
      <c r="F392" s="68" t="s">
        <v>974</v>
      </c>
      <c r="G392" s="49"/>
      <c r="H392" s="49"/>
      <c r="I392" s="49"/>
      <c r="J392" s="49"/>
      <c r="K392" s="49"/>
      <c r="L392" s="68" t="s">
        <v>844</v>
      </c>
      <c r="M392" s="49"/>
    </row>
    <row r="393" ht="24.75" customHeight="1">
      <c r="A393" s="160" t="s">
        <v>975</v>
      </c>
      <c r="B393" s="161" t="s">
        <v>840</v>
      </c>
      <c r="C393" s="161" t="s">
        <v>972</v>
      </c>
      <c r="D393" s="47" t="s">
        <v>976</v>
      </c>
      <c r="E393" s="60">
        <v>287531.0</v>
      </c>
      <c r="F393" s="61" t="s">
        <v>974</v>
      </c>
      <c r="G393" s="122"/>
      <c r="H393" s="122"/>
      <c r="I393" s="122"/>
      <c r="J393" s="122"/>
      <c r="K393" s="122"/>
      <c r="L393" s="61" t="s">
        <v>844</v>
      </c>
      <c r="M393" s="122"/>
    </row>
    <row r="394" ht="24.75" customHeight="1">
      <c r="A394" s="162" t="s">
        <v>977</v>
      </c>
      <c r="B394" s="159" t="s">
        <v>840</v>
      </c>
      <c r="C394" s="159" t="s">
        <v>972</v>
      </c>
      <c r="D394" s="47" t="s">
        <v>978</v>
      </c>
      <c r="E394" s="48">
        <v>670783.0</v>
      </c>
      <c r="F394" s="68" t="s">
        <v>979</v>
      </c>
      <c r="G394" s="49"/>
      <c r="H394" s="49"/>
      <c r="I394" s="49"/>
      <c r="J394" s="49"/>
      <c r="K394" s="49"/>
      <c r="L394" s="68" t="s">
        <v>844</v>
      </c>
      <c r="M394" s="49"/>
    </row>
    <row r="395" ht="24.75" customHeight="1">
      <c r="A395" s="160" t="s">
        <v>980</v>
      </c>
      <c r="B395" s="161" t="s">
        <v>840</v>
      </c>
      <c r="C395" s="161" t="s">
        <v>972</v>
      </c>
      <c r="D395" s="47" t="s">
        <v>981</v>
      </c>
      <c r="E395" s="60">
        <v>766600.0</v>
      </c>
      <c r="F395" s="61" t="s">
        <v>979</v>
      </c>
      <c r="G395" s="122"/>
      <c r="H395" s="122"/>
      <c r="I395" s="122"/>
      <c r="J395" s="122"/>
      <c r="K395" s="122"/>
      <c r="L395" s="61" t="s">
        <v>844</v>
      </c>
      <c r="M395" s="122"/>
    </row>
    <row r="396" ht="24.75" customHeight="1">
      <c r="A396" s="162" t="s">
        <v>982</v>
      </c>
      <c r="B396" s="159" t="s">
        <v>840</v>
      </c>
      <c r="C396" s="159" t="s">
        <v>972</v>
      </c>
      <c r="D396" s="47" t="s">
        <v>983</v>
      </c>
      <c r="E396" s="48">
        <v>143689.0</v>
      </c>
      <c r="F396" s="68" t="s">
        <v>974</v>
      </c>
      <c r="G396" s="49"/>
      <c r="H396" s="49"/>
      <c r="I396" s="49"/>
      <c r="J396" s="49"/>
      <c r="K396" s="49"/>
      <c r="L396" s="68" t="s">
        <v>844</v>
      </c>
      <c r="M396" s="49"/>
    </row>
    <row r="397" ht="24.75" customHeight="1">
      <c r="A397" s="160" t="s">
        <v>984</v>
      </c>
      <c r="B397" s="161" t="s">
        <v>840</v>
      </c>
      <c r="C397" s="161" t="s">
        <v>972</v>
      </c>
      <c r="D397" s="47" t="s">
        <v>985</v>
      </c>
      <c r="E397" s="60">
        <v>790507.0</v>
      </c>
      <c r="F397" s="61" t="s">
        <v>974</v>
      </c>
      <c r="G397" s="122"/>
      <c r="H397" s="122"/>
      <c r="I397" s="122"/>
      <c r="J397" s="122"/>
      <c r="K397" s="122"/>
      <c r="L397" s="61" t="s">
        <v>844</v>
      </c>
      <c r="M397" s="122"/>
    </row>
    <row r="398" ht="24.75" customHeight="1">
      <c r="A398" s="162" t="s">
        <v>986</v>
      </c>
      <c r="B398" s="159" t="s">
        <v>840</v>
      </c>
      <c r="C398" s="159" t="s">
        <v>972</v>
      </c>
      <c r="D398" s="47" t="s">
        <v>987</v>
      </c>
      <c r="E398" s="48">
        <v>201195.0</v>
      </c>
      <c r="F398" s="68" t="s">
        <v>974</v>
      </c>
      <c r="G398" s="49"/>
      <c r="H398" s="49"/>
      <c r="I398" s="49"/>
      <c r="J398" s="49"/>
      <c r="K398" s="49"/>
      <c r="L398" s="68" t="s">
        <v>844</v>
      </c>
      <c r="M398" s="49"/>
    </row>
    <row r="399" ht="24.75" customHeight="1">
      <c r="A399" s="160" t="s">
        <v>988</v>
      </c>
      <c r="B399" s="161" t="s">
        <v>840</v>
      </c>
      <c r="C399" s="161" t="s">
        <v>972</v>
      </c>
      <c r="D399" s="47" t="s">
        <v>989</v>
      </c>
      <c r="E399" s="60">
        <v>287531.0</v>
      </c>
      <c r="F399" s="61" t="s">
        <v>974</v>
      </c>
      <c r="G399" s="122"/>
      <c r="H399" s="122"/>
      <c r="I399" s="122"/>
      <c r="J399" s="122"/>
      <c r="K399" s="122"/>
      <c r="L399" s="61" t="s">
        <v>844</v>
      </c>
      <c r="M399" s="122"/>
    </row>
    <row r="400" ht="24.75" customHeight="1">
      <c r="A400" s="162" t="s">
        <v>990</v>
      </c>
      <c r="B400" s="159" t="s">
        <v>840</v>
      </c>
      <c r="C400" s="159" t="s">
        <v>972</v>
      </c>
      <c r="D400" s="47" t="s">
        <v>991</v>
      </c>
      <c r="E400" s="48">
        <v>287531.0</v>
      </c>
      <c r="F400" s="68" t="s">
        <v>974</v>
      </c>
      <c r="G400" s="49"/>
      <c r="H400" s="49"/>
      <c r="I400" s="49"/>
      <c r="J400" s="49"/>
      <c r="K400" s="49"/>
      <c r="L400" s="68" t="s">
        <v>844</v>
      </c>
      <c r="M400" s="49"/>
    </row>
    <row r="401" ht="24.75" customHeight="1">
      <c r="A401" s="160" t="s">
        <v>992</v>
      </c>
      <c r="B401" s="161" t="s">
        <v>840</v>
      </c>
      <c r="C401" s="161"/>
      <c r="D401" s="47" t="s">
        <v>993</v>
      </c>
      <c r="E401" s="60"/>
      <c r="F401" s="122"/>
      <c r="G401" s="122"/>
      <c r="H401" s="122"/>
      <c r="I401" s="122"/>
      <c r="J401" s="122"/>
      <c r="K401" s="122"/>
      <c r="L401" s="61" t="s">
        <v>844</v>
      </c>
      <c r="M401" s="122"/>
    </row>
    <row r="402" ht="24.75" customHeight="1">
      <c r="A402" s="162" t="s">
        <v>994</v>
      </c>
      <c r="B402" s="159" t="s">
        <v>840</v>
      </c>
      <c r="C402" s="47" t="s">
        <v>993</v>
      </c>
      <c r="D402" s="47" t="s">
        <v>995</v>
      </c>
      <c r="E402" s="48">
        <v>11634.0</v>
      </c>
      <c r="F402" s="68" t="s">
        <v>996</v>
      </c>
      <c r="G402" s="49"/>
      <c r="H402" s="49"/>
      <c r="I402" s="49"/>
      <c r="J402" s="49"/>
      <c r="K402" s="49"/>
      <c r="L402" s="68" t="s">
        <v>844</v>
      </c>
      <c r="M402" s="49"/>
    </row>
    <row r="403" ht="24.75" customHeight="1">
      <c r="A403" s="160" t="s">
        <v>997</v>
      </c>
      <c r="B403" s="161" t="s">
        <v>840</v>
      </c>
      <c r="C403" s="47" t="s">
        <v>993</v>
      </c>
      <c r="D403" s="47" t="s">
        <v>998</v>
      </c>
      <c r="E403" s="60">
        <v>15534.0</v>
      </c>
      <c r="F403" s="61" t="s">
        <v>996</v>
      </c>
      <c r="G403" s="122"/>
      <c r="H403" s="122"/>
      <c r="I403" s="122"/>
      <c r="J403" s="122"/>
      <c r="K403" s="122"/>
      <c r="L403" s="61" t="s">
        <v>844</v>
      </c>
      <c r="M403" s="122"/>
    </row>
    <row r="404" ht="24.75" customHeight="1">
      <c r="A404" s="162" t="s">
        <v>999</v>
      </c>
      <c r="B404" s="159" t="s">
        <v>840</v>
      </c>
      <c r="C404" s="47" t="s">
        <v>993</v>
      </c>
      <c r="D404" s="47" t="s">
        <v>1000</v>
      </c>
      <c r="E404" s="48">
        <v>7772.0</v>
      </c>
      <c r="F404" s="68" t="s">
        <v>996</v>
      </c>
      <c r="G404" s="49"/>
      <c r="H404" s="49"/>
      <c r="I404" s="49"/>
      <c r="J404" s="49"/>
      <c r="K404" s="49"/>
      <c r="L404" s="68" t="s">
        <v>844</v>
      </c>
      <c r="M404" s="49"/>
    </row>
    <row r="405" ht="24.75" customHeight="1">
      <c r="A405" s="160" t="s">
        <v>1001</v>
      </c>
      <c r="B405" s="161" t="s">
        <v>840</v>
      </c>
      <c r="C405" s="47" t="s">
        <v>993</v>
      </c>
      <c r="D405" s="47" t="s">
        <v>1002</v>
      </c>
      <c r="E405" s="60">
        <v>14552.0</v>
      </c>
      <c r="F405" s="61" t="s">
        <v>1003</v>
      </c>
      <c r="G405" s="122"/>
      <c r="H405" s="122"/>
      <c r="I405" s="122"/>
      <c r="J405" s="122"/>
      <c r="K405" s="122"/>
      <c r="L405" s="61" t="s">
        <v>844</v>
      </c>
      <c r="M405" s="122"/>
    </row>
    <row r="406" ht="24.75" customHeight="1">
      <c r="A406" s="162" t="s">
        <v>1004</v>
      </c>
      <c r="B406" s="159" t="s">
        <v>840</v>
      </c>
      <c r="C406" s="47" t="s">
        <v>993</v>
      </c>
      <c r="D406" s="47" t="s">
        <v>1005</v>
      </c>
      <c r="E406" s="48">
        <v>18376.0</v>
      </c>
      <c r="F406" s="68" t="s">
        <v>1003</v>
      </c>
      <c r="G406" s="49"/>
      <c r="H406" s="49"/>
      <c r="I406" s="49"/>
      <c r="J406" s="49"/>
      <c r="K406" s="49"/>
      <c r="L406" s="68" t="s">
        <v>844</v>
      </c>
      <c r="M406" s="49"/>
    </row>
    <row r="407" ht="24.75" customHeight="1">
      <c r="A407" s="160" t="s">
        <v>1006</v>
      </c>
      <c r="B407" s="161" t="s">
        <v>840</v>
      </c>
      <c r="C407" s="47" t="s">
        <v>993</v>
      </c>
      <c r="D407" s="47" t="s">
        <v>1007</v>
      </c>
      <c r="E407" s="60">
        <v>22328.0</v>
      </c>
      <c r="F407" s="61" t="s">
        <v>1003</v>
      </c>
      <c r="G407" s="122"/>
      <c r="H407" s="122"/>
      <c r="I407" s="122"/>
      <c r="J407" s="122"/>
      <c r="K407" s="122"/>
      <c r="L407" s="61" t="s">
        <v>844</v>
      </c>
      <c r="M407" s="122"/>
    </row>
    <row r="408" ht="24.75" customHeight="1">
      <c r="A408" s="162" t="s">
        <v>1008</v>
      </c>
      <c r="B408" s="159" t="s">
        <v>840</v>
      </c>
      <c r="C408" s="47" t="s">
        <v>993</v>
      </c>
      <c r="D408" s="47" t="s">
        <v>1009</v>
      </c>
      <c r="E408" s="48">
        <v>17440.0</v>
      </c>
      <c r="F408" s="68" t="s">
        <v>996</v>
      </c>
      <c r="G408" s="49"/>
      <c r="H408" s="49"/>
      <c r="I408" s="49"/>
      <c r="J408" s="49"/>
      <c r="K408" s="49"/>
      <c r="L408" s="68" t="s">
        <v>844</v>
      </c>
      <c r="M408" s="49"/>
    </row>
    <row r="409" ht="24.75" customHeight="1">
      <c r="A409" s="160" t="s">
        <v>1010</v>
      </c>
      <c r="B409" s="161" t="s">
        <v>840</v>
      </c>
      <c r="C409" s="47" t="s">
        <v>993</v>
      </c>
      <c r="D409" s="47" t="s">
        <v>1011</v>
      </c>
      <c r="E409" s="60">
        <v>23292.0</v>
      </c>
      <c r="F409" s="61" t="s">
        <v>996</v>
      </c>
      <c r="G409" s="122"/>
      <c r="H409" s="122"/>
      <c r="I409" s="122"/>
      <c r="J409" s="122"/>
      <c r="K409" s="122"/>
      <c r="L409" s="61" t="s">
        <v>844</v>
      </c>
      <c r="M409" s="122"/>
    </row>
    <row r="410" ht="24.75" customHeight="1">
      <c r="A410" s="162" t="s">
        <v>1012</v>
      </c>
      <c r="B410" s="159" t="s">
        <v>840</v>
      </c>
      <c r="C410" s="47" t="s">
        <v>993</v>
      </c>
      <c r="D410" s="47" t="s">
        <v>1013</v>
      </c>
      <c r="E410" s="48">
        <v>11634.0</v>
      </c>
      <c r="F410" s="68" t="s">
        <v>996</v>
      </c>
      <c r="G410" s="49"/>
      <c r="H410" s="49"/>
      <c r="I410" s="49"/>
      <c r="J410" s="49"/>
      <c r="K410" s="49"/>
      <c r="L410" s="68" t="s">
        <v>844</v>
      </c>
      <c r="M410" s="49"/>
    </row>
    <row r="411" ht="24.75" customHeight="1">
      <c r="A411" s="160" t="s">
        <v>1014</v>
      </c>
      <c r="B411" s="161" t="s">
        <v>840</v>
      </c>
      <c r="C411" s="47" t="s">
        <v>993</v>
      </c>
      <c r="D411" s="47" t="s">
        <v>1015</v>
      </c>
      <c r="E411" s="60">
        <v>14934.0</v>
      </c>
      <c r="F411" s="61" t="s">
        <v>1003</v>
      </c>
      <c r="G411" s="122"/>
      <c r="H411" s="122"/>
      <c r="I411" s="122"/>
      <c r="J411" s="122"/>
      <c r="K411" s="122"/>
      <c r="L411" s="61" t="s">
        <v>844</v>
      </c>
      <c r="M411" s="122"/>
    </row>
    <row r="412" ht="24.75" customHeight="1">
      <c r="A412" s="162" t="s">
        <v>1016</v>
      </c>
      <c r="B412" s="159" t="s">
        <v>840</v>
      </c>
      <c r="C412" s="47" t="s">
        <v>993</v>
      </c>
      <c r="D412" s="47" t="s">
        <v>1017</v>
      </c>
      <c r="E412" s="48">
        <v>22491.0</v>
      </c>
      <c r="F412" s="68" t="s">
        <v>1003</v>
      </c>
      <c r="G412" s="49"/>
      <c r="H412" s="49"/>
      <c r="I412" s="49"/>
      <c r="J412" s="49"/>
      <c r="K412" s="49"/>
      <c r="L412" s="68" t="s">
        <v>844</v>
      </c>
      <c r="M412" s="49"/>
    </row>
    <row r="413" ht="24.75" customHeight="1">
      <c r="A413" s="160" t="s">
        <v>1018</v>
      </c>
      <c r="B413" s="161" t="s">
        <v>840</v>
      </c>
      <c r="C413" s="47" t="s">
        <v>993</v>
      </c>
      <c r="D413" s="47" t="s">
        <v>1019</v>
      </c>
      <c r="E413" s="60">
        <v>30000.0</v>
      </c>
      <c r="F413" s="61" t="s">
        <v>1003</v>
      </c>
      <c r="G413" s="122"/>
      <c r="H413" s="122"/>
      <c r="I413" s="122"/>
      <c r="J413" s="122"/>
      <c r="K413" s="122"/>
      <c r="L413" s="61" t="s">
        <v>844</v>
      </c>
      <c r="M413" s="122"/>
    </row>
    <row r="414" ht="24.75" customHeight="1">
      <c r="A414" s="162" t="s">
        <v>1020</v>
      </c>
      <c r="B414" s="159" t="s">
        <v>840</v>
      </c>
      <c r="C414" s="47" t="s">
        <v>993</v>
      </c>
      <c r="D414" s="47" t="s">
        <v>1021</v>
      </c>
      <c r="E414" s="48">
        <v>23843.0</v>
      </c>
      <c r="F414" s="68" t="s">
        <v>996</v>
      </c>
      <c r="G414" s="49"/>
      <c r="H414" s="49"/>
      <c r="I414" s="49"/>
      <c r="J414" s="49"/>
      <c r="K414" s="49"/>
      <c r="L414" s="68" t="s">
        <v>844</v>
      </c>
      <c r="M414" s="49"/>
    </row>
    <row r="415" ht="24.75" customHeight="1">
      <c r="A415" s="160" t="s">
        <v>1022</v>
      </c>
      <c r="B415" s="161" t="s">
        <v>840</v>
      </c>
      <c r="C415" s="47" t="s">
        <v>993</v>
      </c>
      <c r="D415" s="47" t="s">
        <v>1023</v>
      </c>
      <c r="E415" s="60">
        <v>34842.0</v>
      </c>
      <c r="F415" s="61" t="s">
        <v>996</v>
      </c>
      <c r="G415" s="122"/>
      <c r="H415" s="122"/>
      <c r="I415" s="122"/>
      <c r="J415" s="122"/>
      <c r="K415" s="122"/>
      <c r="L415" s="61" t="s">
        <v>844</v>
      </c>
      <c r="M415" s="122"/>
    </row>
    <row r="416" ht="24.75" customHeight="1">
      <c r="A416" s="162" t="s">
        <v>1024</v>
      </c>
      <c r="B416" s="159" t="s">
        <v>840</v>
      </c>
      <c r="C416" s="47" t="s">
        <v>993</v>
      </c>
      <c r="D416" s="47" t="s">
        <v>1025</v>
      </c>
      <c r="E416" s="48">
        <v>15153.0</v>
      </c>
      <c r="F416" s="68" t="s">
        <v>996</v>
      </c>
      <c r="G416" s="49"/>
      <c r="H416" s="49"/>
      <c r="I416" s="49"/>
      <c r="J416" s="49"/>
      <c r="K416" s="49"/>
      <c r="L416" s="68" t="s">
        <v>844</v>
      </c>
      <c r="M416" s="49"/>
    </row>
    <row r="417" ht="24.75" customHeight="1">
      <c r="A417" s="160" t="s">
        <v>1026</v>
      </c>
      <c r="B417" s="161" t="s">
        <v>840</v>
      </c>
      <c r="C417" s="47" t="s">
        <v>993</v>
      </c>
      <c r="D417" s="47" t="s">
        <v>1027</v>
      </c>
      <c r="E417" s="60">
        <v>20837.0</v>
      </c>
      <c r="F417" s="61" t="s">
        <v>1003</v>
      </c>
      <c r="G417" s="122"/>
      <c r="H417" s="122"/>
      <c r="I417" s="122"/>
      <c r="J417" s="122"/>
      <c r="K417" s="122"/>
      <c r="L417" s="61" t="s">
        <v>844</v>
      </c>
      <c r="M417" s="122"/>
    </row>
    <row r="418" ht="24.75" customHeight="1">
      <c r="A418" s="162" t="s">
        <v>1028</v>
      </c>
      <c r="B418" s="159" t="s">
        <v>840</v>
      </c>
      <c r="C418" s="47" t="s">
        <v>993</v>
      </c>
      <c r="D418" s="47" t="s">
        <v>1029</v>
      </c>
      <c r="E418" s="48">
        <v>31139.0</v>
      </c>
      <c r="F418" s="68" t="s">
        <v>1003</v>
      </c>
      <c r="G418" s="49"/>
      <c r="H418" s="49"/>
      <c r="I418" s="49"/>
      <c r="J418" s="49"/>
      <c r="K418" s="49"/>
      <c r="L418" s="68" t="s">
        <v>844</v>
      </c>
      <c r="M418" s="49"/>
    </row>
    <row r="419" ht="24.75" customHeight="1">
      <c r="A419" s="160" t="s">
        <v>1030</v>
      </c>
      <c r="B419" s="161" t="s">
        <v>840</v>
      </c>
      <c r="C419" s="47" t="s">
        <v>993</v>
      </c>
      <c r="D419" s="47" t="s">
        <v>1031</v>
      </c>
      <c r="E419" s="60">
        <v>41553.0</v>
      </c>
      <c r="F419" s="61" t="s">
        <v>1003</v>
      </c>
      <c r="G419" s="122"/>
      <c r="H419" s="122"/>
      <c r="I419" s="122"/>
      <c r="J419" s="122"/>
      <c r="K419" s="122"/>
      <c r="L419" s="61" t="s">
        <v>844</v>
      </c>
      <c r="M419" s="122"/>
    </row>
    <row r="420" ht="24.75" customHeight="1">
      <c r="A420" s="162" t="s">
        <v>106</v>
      </c>
      <c r="B420" s="159"/>
      <c r="C420" s="159"/>
      <c r="D420" s="47"/>
      <c r="E420" s="48"/>
      <c r="F420" s="49"/>
      <c r="G420" s="49"/>
      <c r="H420" s="49"/>
      <c r="I420" s="49"/>
      <c r="J420" s="49"/>
      <c r="K420" s="49"/>
      <c r="L420" s="49"/>
      <c r="M420" s="49"/>
    </row>
    <row r="421" ht="24.75" customHeight="1">
      <c r="A421" s="160" t="s">
        <v>106</v>
      </c>
      <c r="B421" s="161"/>
      <c r="C421" s="161"/>
      <c r="D421" s="47"/>
      <c r="E421" s="60"/>
      <c r="F421" s="122"/>
      <c r="G421" s="122"/>
      <c r="H421" s="122"/>
      <c r="I421" s="122"/>
      <c r="J421" s="122"/>
      <c r="K421" s="122"/>
      <c r="L421" s="122"/>
      <c r="M421" s="122"/>
    </row>
    <row r="422" ht="24.75" customHeight="1">
      <c r="A422" s="162" t="s">
        <v>106</v>
      </c>
      <c r="B422" s="159" t="s">
        <v>1032</v>
      </c>
      <c r="C422" s="159" t="s">
        <v>1033</v>
      </c>
      <c r="D422" s="47" t="s">
        <v>1033</v>
      </c>
      <c r="E422" s="48"/>
      <c r="F422" s="49"/>
      <c r="G422" s="49"/>
      <c r="H422" s="49"/>
      <c r="I422" s="49"/>
      <c r="J422" s="49"/>
      <c r="K422" s="49"/>
      <c r="L422" s="49"/>
      <c r="M422" s="49"/>
    </row>
    <row r="423" ht="24.75" customHeight="1">
      <c r="A423" s="160"/>
      <c r="B423" s="161"/>
      <c r="C423" s="161"/>
      <c r="D423" s="47"/>
      <c r="E423" s="60"/>
      <c r="F423" s="122"/>
      <c r="G423" s="122"/>
      <c r="H423" s="122"/>
      <c r="I423" s="122"/>
      <c r="J423" s="122"/>
      <c r="K423" s="122"/>
      <c r="L423" s="122"/>
      <c r="M423" s="122"/>
    </row>
    <row r="424" ht="24.75" customHeight="1">
      <c r="A424" s="162"/>
      <c r="B424" s="159"/>
      <c r="C424" s="159"/>
      <c r="D424" s="47"/>
      <c r="E424" s="48"/>
      <c r="F424" s="49"/>
      <c r="G424" s="49"/>
      <c r="H424" s="49"/>
      <c r="I424" s="49"/>
      <c r="J424" s="49"/>
      <c r="K424" s="49"/>
      <c r="L424" s="49"/>
      <c r="M424" s="49"/>
    </row>
    <row r="425" ht="24.75" customHeight="1">
      <c r="A425" s="160"/>
      <c r="B425" s="161"/>
      <c r="C425" s="161"/>
      <c r="D425" s="47"/>
      <c r="E425" s="60"/>
      <c r="F425" s="122"/>
      <c r="G425" s="122"/>
      <c r="H425" s="122"/>
      <c r="I425" s="122"/>
      <c r="J425" s="122"/>
      <c r="K425" s="122"/>
      <c r="L425" s="122"/>
      <c r="M425" s="122"/>
    </row>
    <row r="426" ht="24.75" customHeight="1">
      <c r="A426" s="162"/>
      <c r="B426" s="159"/>
      <c r="C426" s="159"/>
      <c r="D426" s="47"/>
      <c r="E426" s="48"/>
      <c r="F426" s="49"/>
      <c r="G426" s="49"/>
      <c r="H426" s="49"/>
      <c r="I426" s="49"/>
      <c r="J426" s="49"/>
      <c r="K426" s="49"/>
      <c r="L426" s="49"/>
      <c r="M426" s="49"/>
    </row>
    <row r="427" ht="24.75" customHeight="1">
      <c r="A427" s="160"/>
      <c r="B427" s="161"/>
      <c r="C427" s="161"/>
      <c r="D427" s="47"/>
      <c r="E427" s="60"/>
      <c r="F427" s="122"/>
      <c r="G427" s="122"/>
      <c r="H427" s="122"/>
      <c r="I427" s="122"/>
      <c r="J427" s="122"/>
      <c r="K427" s="122"/>
      <c r="L427" s="122"/>
      <c r="M427" s="122"/>
    </row>
    <row r="428" ht="24.75" customHeight="1">
      <c r="A428" s="162"/>
      <c r="B428" s="159"/>
      <c r="C428" s="159"/>
      <c r="D428" s="47"/>
      <c r="E428" s="48"/>
      <c r="F428" s="49"/>
      <c r="G428" s="49"/>
      <c r="H428" s="49"/>
      <c r="I428" s="49"/>
      <c r="J428" s="49"/>
      <c r="K428" s="49"/>
      <c r="L428" s="49"/>
      <c r="M428" s="49"/>
    </row>
    <row r="429" ht="24.75" customHeight="1">
      <c r="A429" s="160"/>
      <c r="B429" s="161"/>
      <c r="C429" s="161"/>
      <c r="D429" s="47"/>
      <c r="E429" s="60"/>
      <c r="F429" s="122"/>
      <c r="G429" s="122"/>
      <c r="H429" s="122"/>
      <c r="I429" s="122"/>
      <c r="J429" s="122"/>
      <c r="K429" s="122"/>
      <c r="L429" s="122"/>
      <c r="M429" s="122"/>
    </row>
    <row r="430" ht="24.75" customHeight="1">
      <c r="A430" s="162"/>
      <c r="B430" s="159"/>
      <c r="C430" s="159"/>
      <c r="D430" s="47"/>
      <c r="E430" s="48"/>
      <c r="F430" s="49"/>
      <c r="G430" s="49"/>
      <c r="H430" s="49"/>
      <c r="I430" s="49"/>
      <c r="J430" s="49"/>
      <c r="K430" s="49"/>
      <c r="L430" s="49"/>
      <c r="M430" s="49"/>
    </row>
    <row r="431" ht="24.75" customHeight="1">
      <c r="A431" s="160"/>
      <c r="B431" s="161"/>
      <c r="C431" s="161"/>
      <c r="D431" s="47"/>
      <c r="E431" s="60"/>
      <c r="F431" s="122"/>
      <c r="G431" s="122"/>
      <c r="H431" s="122"/>
      <c r="I431" s="122"/>
      <c r="J431" s="122"/>
      <c r="K431" s="122"/>
      <c r="L431" s="122"/>
      <c r="M431" s="122"/>
    </row>
    <row r="432" ht="24.75" customHeight="1">
      <c r="A432" s="162"/>
      <c r="B432" s="159"/>
      <c r="C432" s="159"/>
      <c r="D432" s="47"/>
      <c r="E432" s="48"/>
      <c r="F432" s="49"/>
      <c r="G432" s="49"/>
      <c r="H432" s="49"/>
      <c r="I432" s="49"/>
      <c r="J432" s="49"/>
      <c r="K432" s="49"/>
      <c r="L432" s="49"/>
      <c r="M432" s="49"/>
    </row>
    <row r="433" ht="24.75" customHeight="1">
      <c r="A433" s="160"/>
      <c r="B433" s="161"/>
      <c r="C433" s="161"/>
      <c r="D433" s="47"/>
      <c r="E433" s="60"/>
      <c r="F433" s="122"/>
      <c r="G433" s="122"/>
      <c r="H433" s="122"/>
      <c r="I433" s="122"/>
      <c r="J433" s="122"/>
      <c r="K433" s="122"/>
      <c r="L433" s="122"/>
      <c r="M433" s="122"/>
    </row>
    <row r="434" ht="24.75" customHeight="1">
      <c r="A434" s="162"/>
      <c r="B434" s="159"/>
      <c r="C434" s="159"/>
      <c r="D434" s="47"/>
      <c r="E434" s="48"/>
      <c r="F434" s="49"/>
      <c r="G434" s="49"/>
      <c r="H434" s="49"/>
      <c r="I434" s="49"/>
      <c r="J434" s="49"/>
      <c r="K434" s="49"/>
      <c r="L434" s="49"/>
      <c r="M434" s="49"/>
    </row>
    <row r="435" ht="24.75" customHeight="1">
      <c r="A435" s="160"/>
      <c r="B435" s="161"/>
      <c r="C435" s="161"/>
      <c r="D435" s="47"/>
      <c r="E435" s="60"/>
      <c r="F435" s="122"/>
      <c r="G435" s="122"/>
      <c r="H435" s="122"/>
      <c r="I435" s="122"/>
      <c r="J435" s="122"/>
      <c r="K435" s="122"/>
      <c r="L435" s="122"/>
      <c r="M435" s="122"/>
    </row>
    <row r="436" ht="24.75" customHeight="1">
      <c r="A436" s="162"/>
      <c r="B436" s="159"/>
      <c r="C436" s="159"/>
      <c r="D436" s="47"/>
      <c r="E436" s="48"/>
      <c r="F436" s="49"/>
      <c r="G436" s="49"/>
      <c r="H436" s="49"/>
      <c r="I436" s="49"/>
      <c r="J436" s="49"/>
      <c r="K436" s="49"/>
      <c r="L436" s="49"/>
      <c r="M436" s="49"/>
    </row>
    <row r="437" ht="24.75" customHeight="1">
      <c r="A437" s="160"/>
      <c r="B437" s="161"/>
      <c r="C437" s="161"/>
      <c r="D437" s="47"/>
      <c r="E437" s="60"/>
      <c r="F437" s="122"/>
      <c r="G437" s="122"/>
      <c r="H437" s="122"/>
      <c r="I437" s="122"/>
      <c r="J437" s="122"/>
      <c r="K437" s="122"/>
      <c r="L437" s="122"/>
      <c r="M437" s="122"/>
    </row>
    <row r="438" ht="24.75" customHeight="1">
      <c r="A438" s="162"/>
      <c r="B438" s="159"/>
      <c r="C438" s="159"/>
      <c r="D438" s="47"/>
      <c r="E438" s="48"/>
      <c r="F438" s="49"/>
      <c r="G438" s="49"/>
      <c r="H438" s="49"/>
      <c r="I438" s="49"/>
      <c r="J438" s="49"/>
      <c r="K438" s="49"/>
      <c r="L438" s="49"/>
      <c r="M438" s="49"/>
    </row>
    <row r="439" ht="24.75" customHeight="1">
      <c r="A439" s="160"/>
      <c r="B439" s="161"/>
      <c r="C439" s="161"/>
      <c r="D439" s="47"/>
      <c r="E439" s="60"/>
      <c r="F439" s="122"/>
      <c r="G439" s="122"/>
      <c r="H439" s="122"/>
      <c r="I439" s="122"/>
      <c r="J439" s="122"/>
      <c r="K439" s="122"/>
      <c r="L439" s="122"/>
      <c r="M439" s="122"/>
    </row>
    <row r="440" ht="24.75" customHeight="1">
      <c r="A440" s="162"/>
      <c r="B440" s="159"/>
      <c r="C440" s="159"/>
      <c r="D440" s="47"/>
      <c r="E440" s="48"/>
      <c r="F440" s="49"/>
      <c r="G440" s="49"/>
      <c r="H440" s="49"/>
      <c r="I440" s="49"/>
      <c r="J440" s="49"/>
      <c r="K440" s="49"/>
      <c r="L440" s="49"/>
      <c r="M440" s="49"/>
    </row>
    <row r="441" ht="24.75" customHeight="1">
      <c r="A441" s="160"/>
      <c r="B441" s="161"/>
      <c r="C441" s="161"/>
      <c r="D441" s="47"/>
      <c r="E441" s="60"/>
      <c r="F441" s="122"/>
      <c r="G441" s="122"/>
      <c r="H441" s="122"/>
      <c r="I441" s="122"/>
      <c r="J441" s="122"/>
      <c r="K441" s="122"/>
      <c r="L441" s="122"/>
      <c r="M441" s="122"/>
    </row>
    <row r="442" ht="24.75" customHeight="1">
      <c r="A442" s="162"/>
      <c r="B442" s="159"/>
      <c r="C442" s="159"/>
      <c r="D442" s="47"/>
      <c r="E442" s="48"/>
      <c r="F442" s="49"/>
      <c r="G442" s="49"/>
      <c r="H442" s="49"/>
      <c r="I442" s="49"/>
      <c r="J442" s="49"/>
      <c r="K442" s="49"/>
      <c r="L442" s="49"/>
      <c r="M442" s="49"/>
    </row>
    <row r="443" ht="24.75" customHeight="1">
      <c r="A443" s="160"/>
      <c r="B443" s="161"/>
      <c r="C443" s="161"/>
      <c r="D443" s="47"/>
      <c r="E443" s="60"/>
      <c r="F443" s="122"/>
      <c r="G443" s="122"/>
      <c r="H443" s="122"/>
      <c r="I443" s="122"/>
      <c r="J443" s="122"/>
      <c r="K443" s="122"/>
      <c r="L443" s="122"/>
      <c r="M443" s="122"/>
    </row>
    <row r="444" ht="24.75" customHeight="1">
      <c r="A444" s="162"/>
      <c r="B444" s="159"/>
      <c r="C444" s="159"/>
      <c r="D444" s="47"/>
      <c r="E444" s="48"/>
      <c r="F444" s="49"/>
      <c r="G444" s="49"/>
      <c r="H444" s="49"/>
      <c r="I444" s="49"/>
      <c r="J444" s="49"/>
      <c r="K444" s="49"/>
      <c r="L444" s="49"/>
      <c r="M444" s="49"/>
    </row>
    <row r="445" ht="24.75" customHeight="1">
      <c r="A445" s="160"/>
      <c r="B445" s="161"/>
      <c r="C445" s="161"/>
      <c r="D445" s="47"/>
      <c r="E445" s="60"/>
      <c r="F445" s="122"/>
      <c r="G445" s="122"/>
      <c r="H445" s="122"/>
      <c r="I445" s="122"/>
      <c r="J445" s="122"/>
      <c r="K445" s="122"/>
      <c r="L445" s="122"/>
      <c r="M445" s="122"/>
    </row>
    <row r="446" ht="24.75" customHeight="1">
      <c r="A446" s="162"/>
      <c r="B446" s="159"/>
      <c r="C446" s="159"/>
      <c r="D446" s="47"/>
      <c r="E446" s="48"/>
      <c r="F446" s="49"/>
      <c r="G446" s="49"/>
      <c r="H446" s="49"/>
      <c r="I446" s="49"/>
      <c r="J446" s="49"/>
      <c r="K446" s="49"/>
      <c r="L446" s="49"/>
      <c r="M446" s="49"/>
    </row>
    <row r="447" ht="24.75" customHeight="1">
      <c r="A447" s="160"/>
      <c r="B447" s="161"/>
      <c r="C447" s="161"/>
      <c r="D447" s="47"/>
      <c r="E447" s="60"/>
      <c r="F447" s="122"/>
      <c r="G447" s="122"/>
      <c r="H447" s="122"/>
      <c r="I447" s="122"/>
      <c r="J447" s="122"/>
      <c r="K447" s="122"/>
      <c r="L447" s="122"/>
      <c r="M447" s="122"/>
    </row>
    <row r="448" ht="24.75" customHeight="1">
      <c r="A448" s="162"/>
      <c r="B448" s="159"/>
      <c r="C448" s="159"/>
      <c r="D448" s="47"/>
      <c r="E448" s="48"/>
      <c r="F448" s="49"/>
      <c r="G448" s="49"/>
      <c r="H448" s="49"/>
      <c r="I448" s="49"/>
      <c r="J448" s="49"/>
      <c r="K448" s="49"/>
      <c r="L448" s="49"/>
      <c r="M448" s="49"/>
    </row>
    <row r="449" ht="24.75" customHeight="1">
      <c r="A449" s="160"/>
      <c r="B449" s="161"/>
      <c r="C449" s="161"/>
      <c r="D449" s="47"/>
      <c r="E449" s="60"/>
      <c r="F449" s="122"/>
      <c r="G449" s="122"/>
      <c r="H449" s="122"/>
      <c r="I449" s="122"/>
      <c r="J449" s="122"/>
      <c r="K449" s="122"/>
      <c r="L449" s="122"/>
      <c r="M449" s="122"/>
    </row>
    <row r="450" ht="24.75" customHeight="1">
      <c r="A450" s="162"/>
      <c r="B450" s="159"/>
      <c r="C450" s="159"/>
      <c r="D450" s="47"/>
      <c r="E450" s="48"/>
      <c r="F450" s="49"/>
      <c r="G450" s="49"/>
      <c r="H450" s="49"/>
      <c r="I450" s="49"/>
      <c r="J450" s="49"/>
      <c r="K450" s="49"/>
      <c r="L450" s="49"/>
      <c r="M450" s="49"/>
    </row>
    <row r="451" ht="24.75" customHeight="1">
      <c r="A451" s="160"/>
      <c r="B451" s="161"/>
      <c r="C451" s="161"/>
      <c r="D451" s="47"/>
      <c r="E451" s="60"/>
      <c r="F451" s="122"/>
      <c r="G451" s="122"/>
      <c r="H451" s="122"/>
      <c r="I451" s="122"/>
      <c r="J451" s="122"/>
      <c r="K451" s="122"/>
      <c r="L451" s="122"/>
      <c r="M451" s="122"/>
    </row>
    <row r="452" ht="24.75" customHeight="1">
      <c r="A452" s="162"/>
      <c r="B452" s="159"/>
      <c r="C452" s="159"/>
      <c r="D452" s="47"/>
      <c r="E452" s="48"/>
      <c r="F452" s="49"/>
      <c r="G452" s="49"/>
      <c r="H452" s="49"/>
      <c r="I452" s="49"/>
      <c r="J452" s="49"/>
      <c r="K452" s="49"/>
      <c r="L452" s="49"/>
      <c r="M452" s="49"/>
    </row>
    <row r="453" ht="24.75" customHeight="1">
      <c r="A453" s="160"/>
      <c r="B453" s="161"/>
      <c r="C453" s="161"/>
      <c r="D453" s="47"/>
      <c r="E453" s="60"/>
      <c r="F453" s="122"/>
      <c r="G453" s="122"/>
      <c r="H453" s="122"/>
      <c r="I453" s="122"/>
      <c r="J453" s="122"/>
      <c r="K453" s="122"/>
      <c r="L453" s="122"/>
      <c r="M453" s="122"/>
    </row>
    <row r="454" ht="24.75" customHeight="1">
      <c r="A454" s="162"/>
      <c r="B454" s="159"/>
      <c r="C454" s="159"/>
      <c r="D454" s="47"/>
      <c r="E454" s="48"/>
      <c r="F454" s="49"/>
      <c r="G454" s="49"/>
      <c r="H454" s="49"/>
      <c r="I454" s="49"/>
      <c r="J454" s="49"/>
      <c r="K454" s="49"/>
      <c r="L454" s="49"/>
      <c r="M454" s="49"/>
    </row>
    <row r="455" ht="24.75" customHeight="1">
      <c r="A455" s="160"/>
      <c r="B455" s="161"/>
      <c r="C455" s="161"/>
      <c r="D455" s="47"/>
      <c r="E455" s="60"/>
      <c r="F455" s="122"/>
      <c r="G455" s="122"/>
      <c r="H455" s="122"/>
      <c r="I455" s="122"/>
      <c r="J455" s="122"/>
      <c r="K455" s="122"/>
      <c r="L455" s="122"/>
      <c r="M455" s="122"/>
    </row>
    <row r="456" ht="24.75" customHeight="1">
      <c r="A456" s="162"/>
      <c r="B456" s="159"/>
      <c r="C456" s="159"/>
      <c r="D456" s="47"/>
      <c r="E456" s="48"/>
      <c r="F456" s="49"/>
      <c r="G456" s="49"/>
      <c r="H456" s="49"/>
      <c r="I456" s="49"/>
      <c r="J456" s="49"/>
      <c r="K456" s="49"/>
      <c r="L456" s="49"/>
      <c r="M456" s="49"/>
    </row>
    <row r="457" ht="24.75" customHeight="1">
      <c r="A457" s="160"/>
      <c r="B457" s="161"/>
      <c r="C457" s="161"/>
      <c r="D457" s="47"/>
      <c r="E457" s="60"/>
      <c r="F457" s="122"/>
      <c r="G457" s="122"/>
      <c r="H457" s="122"/>
      <c r="I457" s="122"/>
      <c r="J457" s="122"/>
      <c r="K457" s="122"/>
      <c r="L457" s="122"/>
      <c r="M457" s="122"/>
    </row>
    <row r="458" ht="24.75" customHeight="1">
      <c r="A458" s="162"/>
      <c r="B458" s="159"/>
      <c r="C458" s="159"/>
      <c r="D458" s="47"/>
      <c r="E458" s="48"/>
      <c r="F458" s="49"/>
      <c r="G458" s="49"/>
      <c r="H458" s="49"/>
      <c r="I458" s="49"/>
      <c r="J458" s="49"/>
      <c r="K458" s="49"/>
      <c r="L458" s="49"/>
      <c r="M458" s="49"/>
    </row>
    <row r="459" ht="24.75" customHeight="1">
      <c r="A459" s="160"/>
      <c r="B459" s="161"/>
      <c r="C459" s="161"/>
      <c r="D459" s="47"/>
      <c r="E459" s="60"/>
      <c r="F459" s="122"/>
      <c r="G459" s="122"/>
      <c r="H459" s="122"/>
      <c r="I459" s="122"/>
      <c r="J459" s="122"/>
      <c r="K459" s="122"/>
      <c r="L459" s="122"/>
      <c r="M459" s="122"/>
    </row>
    <row r="460" ht="24.75" customHeight="1">
      <c r="A460" s="162"/>
      <c r="B460" s="159"/>
      <c r="C460" s="159"/>
      <c r="D460" s="47"/>
      <c r="E460" s="48"/>
      <c r="F460" s="49"/>
      <c r="G460" s="49"/>
      <c r="H460" s="49"/>
      <c r="I460" s="49"/>
      <c r="J460" s="49"/>
      <c r="K460" s="49"/>
      <c r="L460" s="49"/>
      <c r="M460" s="49"/>
    </row>
    <row r="461" ht="24.75" customHeight="1">
      <c r="A461" s="160"/>
      <c r="B461" s="161"/>
      <c r="C461" s="161"/>
      <c r="D461" s="47"/>
      <c r="E461" s="60"/>
      <c r="F461" s="122"/>
      <c r="G461" s="122"/>
      <c r="H461" s="122"/>
      <c r="I461" s="122"/>
      <c r="J461" s="122"/>
      <c r="K461" s="122"/>
      <c r="L461" s="122"/>
      <c r="M461" s="122"/>
    </row>
    <row r="462" ht="24.75" customHeight="1">
      <c r="A462" s="162"/>
      <c r="B462" s="159"/>
      <c r="C462" s="159"/>
      <c r="D462" s="47"/>
      <c r="E462" s="48"/>
      <c r="F462" s="49"/>
      <c r="G462" s="49"/>
      <c r="H462" s="49"/>
      <c r="I462" s="49"/>
      <c r="J462" s="49"/>
      <c r="K462" s="49"/>
      <c r="L462" s="49"/>
      <c r="M462" s="49"/>
    </row>
    <row r="463" ht="24.75" customHeight="1">
      <c r="A463" s="160"/>
      <c r="B463" s="161"/>
      <c r="C463" s="161"/>
      <c r="D463" s="47"/>
      <c r="E463" s="60"/>
      <c r="F463" s="122"/>
      <c r="G463" s="122"/>
      <c r="H463" s="122"/>
      <c r="I463" s="122"/>
      <c r="J463" s="122"/>
      <c r="K463" s="122"/>
      <c r="L463" s="122"/>
      <c r="M463" s="122"/>
    </row>
    <row r="464" ht="24.75" customHeight="1">
      <c r="A464" s="162"/>
      <c r="B464" s="159"/>
      <c r="C464" s="159"/>
      <c r="D464" s="47"/>
      <c r="E464" s="48"/>
      <c r="F464" s="49"/>
      <c r="G464" s="49"/>
      <c r="H464" s="49"/>
      <c r="I464" s="49"/>
      <c r="J464" s="49"/>
      <c r="K464" s="49"/>
      <c r="L464" s="49"/>
      <c r="M464" s="49"/>
    </row>
    <row r="465" ht="24.75" customHeight="1">
      <c r="A465" s="160"/>
      <c r="B465" s="161"/>
      <c r="C465" s="161"/>
      <c r="D465" s="47"/>
      <c r="E465" s="60"/>
      <c r="F465" s="122"/>
      <c r="G465" s="122"/>
      <c r="H465" s="122"/>
      <c r="I465" s="122"/>
      <c r="J465" s="122"/>
      <c r="K465" s="122"/>
      <c r="L465" s="122"/>
      <c r="M465" s="122"/>
    </row>
    <row r="466" ht="24.75" customHeight="1">
      <c r="A466" s="162"/>
      <c r="B466" s="159"/>
      <c r="C466" s="159"/>
      <c r="D466" s="47"/>
      <c r="E466" s="48"/>
      <c r="F466" s="49"/>
      <c r="G466" s="49"/>
      <c r="H466" s="49"/>
      <c r="I466" s="49"/>
      <c r="J466" s="49"/>
      <c r="K466" s="49"/>
      <c r="L466" s="49"/>
      <c r="M466" s="49"/>
    </row>
    <row r="467" ht="24.75" customHeight="1">
      <c r="A467" s="160"/>
      <c r="B467" s="161"/>
      <c r="C467" s="161"/>
      <c r="D467" s="47"/>
      <c r="E467" s="60"/>
      <c r="F467" s="122"/>
      <c r="G467" s="122"/>
      <c r="H467" s="122"/>
      <c r="I467" s="122"/>
      <c r="J467" s="122"/>
      <c r="K467" s="122"/>
      <c r="L467" s="122"/>
      <c r="M467" s="122"/>
    </row>
    <row r="468" ht="24.75" customHeight="1">
      <c r="A468" s="162"/>
      <c r="B468" s="159"/>
      <c r="C468" s="159"/>
      <c r="D468" s="47"/>
      <c r="E468" s="48"/>
      <c r="F468" s="49"/>
      <c r="G468" s="49"/>
      <c r="H468" s="49"/>
      <c r="I468" s="49"/>
      <c r="J468" s="49"/>
      <c r="K468" s="49"/>
      <c r="L468" s="49"/>
      <c r="M468" s="49"/>
    </row>
    <row r="469" ht="24.75" customHeight="1">
      <c r="A469" s="160"/>
      <c r="B469" s="161"/>
      <c r="C469" s="161"/>
      <c r="D469" s="47"/>
      <c r="E469" s="60"/>
      <c r="F469" s="122"/>
      <c r="G469" s="122"/>
      <c r="H469" s="122"/>
      <c r="I469" s="122"/>
      <c r="J469" s="122"/>
      <c r="K469" s="122"/>
      <c r="L469" s="122"/>
      <c r="M469" s="122"/>
    </row>
    <row r="470" ht="24.75" customHeight="1">
      <c r="A470" s="162"/>
      <c r="B470" s="159"/>
      <c r="C470" s="159"/>
      <c r="D470" s="47"/>
      <c r="E470" s="48"/>
      <c r="F470" s="49"/>
      <c r="G470" s="49"/>
      <c r="H470" s="49"/>
      <c r="I470" s="49"/>
      <c r="J470" s="49"/>
      <c r="K470" s="49"/>
      <c r="L470" s="49"/>
      <c r="M470" s="49"/>
    </row>
    <row r="471" ht="24.75" customHeight="1">
      <c r="A471" s="160"/>
      <c r="B471" s="161"/>
      <c r="C471" s="161"/>
      <c r="D471" s="47"/>
      <c r="E471" s="60"/>
      <c r="F471" s="122"/>
      <c r="G471" s="122"/>
      <c r="H471" s="122"/>
      <c r="I471" s="122"/>
      <c r="J471" s="122"/>
      <c r="K471" s="122"/>
      <c r="L471" s="122"/>
      <c r="M471" s="122"/>
    </row>
    <row r="472" ht="24.75" customHeight="1">
      <c r="A472" s="162"/>
      <c r="B472" s="159"/>
      <c r="C472" s="159"/>
      <c r="D472" s="47"/>
      <c r="E472" s="48"/>
      <c r="F472" s="49"/>
      <c r="G472" s="49"/>
      <c r="H472" s="49"/>
      <c r="I472" s="49"/>
      <c r="J472" s="49"/>
      <c r="K472" s="49"/>
      <c r="L472" s="49"/>
      <c r="M472" s="49"/>
    </row>
    <row r="473" ht="24.75" customHeight="1">
      <c r="A473" s="160"/>
      <c r="B473" s="161"/>
      <c r="C473" s="161"/>
      <c r="D473" s="47"/>
      <c r="E473" s="60"/>
      <c r="F473" s="122"/>
      <c r="G473" s="122"/>
      <c r="H473" s="122"/>
      <c r="I473" s="122"/>
      <c r="J473" s="122"/>
      <c r="K473" s="122"/>
      <c r="L473" s="122"/>
      <c r="M473" s="122"/>
    </row>
    <row r="474" ht="24.75" customHeight="1">
      <c r="A474" s="162"/>
      <c r="B474" s="159"/>
      <c r="C474" s="159"/>
      <c r="D474" s="47"/>
      <c r="E474" s="48"/>
      <c r="F474" s="49"/>
      <c r="G474" s="49"/>
      <c r="H474" s="49"/>
      <c r="I474" s="49"/>
      <c r="J474" s="49"/>
      <c r="K474" s="49"/>
      <c r="L474" s="49"/>
      <c r="M474" s="49"/>
    </row>
    <row r="475" ht="24.75" customHeight="1">
      <c r="A475" s="160"/>
      <c r="B475" s="161"/>
      <c r="C475" s="161"/>
      <c r="D475" s="47"/>
      <c r="E475" s="60"/>
      <c r="F475" s="122"/>
      <c r="G475" s="122"/>
      <c r="H475" s="122"/>
      <c r="I475" s="122"/>
      <c r="J475" s="122"/>
      <c r="K475" s="122"/>
      <c r="L475" s="122"/>
      <c r="M475" s="122"/>
    </row>
    <row r="476" ht="24.75" customHeight="1">
      <c r="A476" s="162"/>
      <c r="B476" s="159"/>
      <c r="C476" s="159"/>
      <c r="D476" s="47"/>
      <c r="E476" s="48"/>
      <c r="F476" s="49"/>
      <c r="G476" s="49"/>
      <c r="H476" s="49"/>
      <c r="I476" s="49"/>
      <c r="J476" s="49"/>
      <c r="K476" s="49"/>
      <c r="L476" s="49"/>
      <c r="M476" s="49"/>
    </row>
    <row r="477" ht="24.75" customHeight="1">
      <c r="A477" s="160"/>
      <c r="B477" s="161"/>
      <c r="C477" s="161"/>
      <c r="D477" s="47"/>
      <c r="E477" s="60"/>
      <c r="F477" s="122"/>
      <c r="G477" s="122"/>
      <c r="H477" s="122"/>
      <c r="I477" s="122"/>
      <c r="J477" s="122"/>
      <c r="K477" s="122"/>
      <c r="L477" s="122"/>
      <c r="M477" s="122"/>
    </row>
    <row r="478" ht="24.75" customHeight="1">
      <c r="A478" s="162"/>
      <c r="B478" s="159"/>
      <c r="C478" s="159"/>
      <c r="D478" s="47"/>
      <c r="E478" s="48"/>
      <c r="F478" s="49"/>
      <c r="G478" s="49"/>
      <c r="H478" s="49"/>
      <c r="I478" s="49"/>
      <c r="J478" s="49"/>
      <c r="K478" s="49"/>
      <c r="L478" s="49"/>
      <c r="M478" s="49"/>
    </row>
    <row r="479" ht="24.75" customHeight="1">
      <c r="A479" s="160"/>
      <c r="B479" s="161"/>
      <c r="C479" s="161"/>
      <c r="D479" s="47"/>
      <c r="E479" s="60"/>
      <c r="F479" s="122"/>
      <c r="G479" s="122"/>
      <c r="H479" s="122"/>
      <c r="I479" s="122"/>
      <c r="J479" s="122"/>
      <c r="K479" s="122"/>
      <c r="L479" s="122"/>
      <c r="M479" s="122"/>
    </row>
    <row r="480" ht="24.75" customHeight="1">
      <c r="A480" s="162"/>
      <c r="B480" s="159"/>
      <c r="C480" s="159"/>
      <c r="D480" s="47"/>
      <c r="E480" s="48"/>
      <c r="F480" s="49"/>
      <c r="G480" s="49"/>
      <c r="H480" s="49"/>
      <c r="I480" s="49"/>
      <c r="J480" s="49"/>
      <c r="K480" s="49"/>
      <c r="L480" s="49"/>
      <c r="M480" s="49"/>
    </row>
    <row r="481" ht="24.75" customHeight="1">
      <c r="A481" s="160"/>
      <c r="B481" s="161"/>
      <c r="C481" s="161"/>
      <c r="D481" s="47"/>
      <c r="E481" s="60"/>
      <c r="F481" s="122"/>
      <c r="G481" s="122"/>
      <c r="H481" s="122"/>
      <c r="I481" s="122"/>
      <c r="J481" s="122"/>
      <c r="K481" s="122"/>
      <c r="L481" s="122"/>
      <c r="M481" s="122"/>
    </row>
    <row r="482" ht="24.75" customHeight="1">
      <c r="A482" s="162"/>
      <c r="B482" s="159"/>
      <c r="C482" s="159"/>
      <c r="D482" s="47"/>
      <c r="E482" s="48"/>
      <c r="F482" s="49"/>
      <c r="G482" s="49"/>
      <c r="H482" s="49"/>
      <c r="I482" s="49"/>
      <c r="J482" s="49"/>
      <c r="K482" s="49"/>
      <c r="L482" s="49"/>
      <c r="M482" s="49"/>
    </row>
    <row r="483" ht="24.75" customHeight="1">
      <c r="A483" s="160"/>
      <c r="B483" s="161"/>
      <c r="C483" s="161"/>
      <c r="D483" s="47"/>
      <c r="E483" s="60"/>
      <c r="F483" s="122"/>
      <c r="G483" s="122"/>
      <c r="H483" s="122"/>
      <c r="I483" s="122"/>
      <c r="J483" s="122"/>
      <c r="K483" s="122"/>
      <c r="L483" s="122"/>
      <c r="M483" s="122"/>
    </row>
    <row r="484" ht="24.75" customHeight="1">
      <c r="A484" s="162"/>
      <c r="B484" s="159"/>
      <c r="C484" s="159"/>
      <c r="D484" s="47"/>
      <c r="E484" s="48"/>
      <c r="F484" s="49"/>
      <c r="G484" s="49"/>
      <c r="H484" s="49"/>
      <c r="I484" s="49"/>
      <c r="J484" s="49"/>
      <c r="K484" s="49"/>
      <c r="L484" s="49"/>
      <c r="M484" s="49"/>
    </row>
    <row r="485" ht="24.75" customHeight="1">
      <c r="A485" s="160"/>
      <c r="B485" s="161"/>
      <c r="C485" s="161"/>
      <c r="D485" s="47"/>
      <c r="E485" s="60"/>
      <c r="F485" s="122"/>
      <c r="G485" s="122"/>
      <c r="H485" s="122"/>
      <c r="I485" s="122"/>
      <c r="J485" s="122"/>
      <c r="K485" s="122"/>
      <c r="L485" s="122"/>
      <c r="M485" s="122"/>
    </row>
    <row r="486" ht="24.75" customHeight="1">
      <c r="A486" s="162"/>
      <c r="B486" s="159"/>
      <c r="C486" s="159"/>
      <c r="D486" s="47"/>
      <c r="E486" s="48"/>
      <c r="F486" s="49"/>
      <c r="G486" s="49"/>
      <c r="H486" s="49"/>
      <c r="I486" s="49"/>
      <c r="J486" s="49"/>
      <c r="K486" s="49"/>
      <c r="L486" s="49"/>
      <c r="M486" s="49"/>
    </row>
    <row r="487" ht="24.75" customHeight="1">
      <c r="A487" s="160"/>
      <c r="B487" s="161"/>
      <c r="C487" s="161"/>
      <c r="D487" s="47"/>
      <c r="E487" s="60"/>
      <c r="F487" s="122"/>
      <c r="G487" s="122"/>
      <c r="H487" s="122"/>
      <c r="I487" s="122"/>
      <c r="J487" s="122"/>
      <c r="K487" s="122"/>
      <c r="L487" s="122"/>
      <c r="M487" s="122"/>
    </row>
    <row r="488" ht="24.75" customHeight="1">
      <c r="A488" s="162"/>
      <c r="B488" s="159"/>
      <c r="C488" s="159"/>
      <c r="D488" s="47"/>
      <c r="E488" s="48"/>
      <c r="F488" s="49"/>
      <c r="G488" s="49"/>
      <c r="H488" s="49"/>
      <c r="I488" s="49"/>
      <c r="J488" s="49"/>
      <c r="K488" s="49"/>
      <c r="L488" s="49"/>
      <c r="M488" s="49"/>
    </row>
    <row r="489" ht="24.75" customHeight="1">
      <c r="A489" s="160"/>
      <c r="B489" s="161"/>
      <c r="C489" s="161"/>
      <c r="D489" s="47"/>
      <c r="E489" s="60"/>
      <c r="F489" s="122"/>
      <c r="G489" s="122"/>
      <c r="H489" s="122"/>
      <c r="I489" s="122"/>
      <c r="J489" s="122"/>
      <c r="K489" s="122"/>
      <c r="L489" s="122"/>
      <c r="M489" s="122"/>
    </row>
    <row r="490" ht="24.75" customHeight="1">
      <c r="A490" s="162"/>
      <c r="B490" s="159"/>
      <c r="C490" s="159"/>
      <c r="D490" s="47"/>
      <c r="E490" s="48"/>
      <c r="F490" s="49"/>
      <c r="G490" s="49"/>
      <c r="H490" s="49"/>
      <c r="I490" s="49"/>
      <c r="J490" s="49"/>
      <c r="K490" s="49"/>
      <c r="L490" s="49"/>
      <c r="M490" s="49"/>
    </row>
    <row r="491" ht="24.75" customHeight="1">
      <c r="A491" s="160"/>
      <c r="B491" s="161"/>
      <c r="C491" s="161"/>
      <c r="D491" s="47"/>
      <c r="E491" s="60"/>
      <c r="F491" s="122"/>
      <c r="G491" s="122"/>
      <c r="H491" s="122"/>
      <c r="I491" s="122"/>
      <c r="J491" s="122"/>
      <c r="K491" s="122"/>
      <c r="L491" s="122"/>
      <c r="M491" s="122"/>
    </row>
    <row r="492" ht="24.75" customHeight="1">
      <c r="A492" s="162"/>
      <c r="B492" s="159"/>
      <c r="C492" s="159"/>
      <c r="D492" s="47"/>
      <c r="E492" s="48"/>
      <c r="F492" s="49"/>
      <c r="G492" s="49"/>
      <c r="H492" s="49"/>
      <c r="I492" s="49"/>
      <c r="J492" s="49"/>
      <c r="K492" s="49"/>
      <c r="L492" s="49"/>
      <c r="M492" s="49"/>
    </row>
    <row r="493" ht="24.75" customHeight="1">
      <c r="A493" s="160"/>
      <c r="B493" s="161"/>
      <c r="C493" s="161"/>
      <c r="D493" s="47"/>
      <c r="E493" s="60"/>
      <c r="F493" s="122"/>
      <c r="G493" s="122"/>
      <c r="H493" s="122"/>
      <c r="I493" s="122"/>
      <c r="J493" s="122"/>
      <c r="K493" s="122"/>
      <c r="L493" s="122"/>
      <c r="M493" s="122"/>
    </row>
    <row r="494" ht="24.75" customHeight="1">
      <c r="A494" s="162"/>
      <c r="B494" s="159"/>
      <c r="C494" s="159"/>
      <c r="D494" s="47"/>
      <c r="E494" s="48"/>
      <c r="F494" s="49"/>
      <c r="G494" s="49"/>
      <c r="H494" s="49"/>
      <c r="I494" s="49"/>
      <c r="J494" s="49"/>
      <c r="K494" s="49"/>
      <c r="L494" s="49"/>
      <c r="M494" s="49"/>
    </row>
    <row r="495" ht="24.75" customHeight="1">
      <c r="A495" s="160"/>
      <c r="B495" s="161"/>
      <c r="C495" s="161"/>
      <c r="D495" s="47"/>
      <c r="E495" s="60"/>
      <c r="F495" s="122"/>
      <c r="G495" s="122"/>
      <c r="H495" s="122"/>
      <c r="I495" s="122"/>
      <c r="J495" s="122"/>
      <c r="K495" s="122"/>
      <c r="L495" s="122"/>
      <c r="M495" s="122"/>
    </row>
    <row r="496" ht="24.75" customHeight="1">
      <c r="A496" s="162"/>
      <c r="B496" s="159"/>
      <c r="C496" s="159"/>
      <c r="D496" s="47"/>
      <c r="E496" s="48"/>
      <c r="F496" s="49"/>
      <c r="G496" s="49"/>
      <c r="H496" s="49"/>
      <c r="I496" s="49"/>
      <c r="J496" s="49"/>
      <c r="K496" s="49"/>
      <c r="L496" s="49"/>
      <c r="M496" s="49"/>
    </row>
  </sheetData>
  <autoFilter ref="$A$1:$M$325">
    <filterColumn colId="1">
      <filters>
        <filter val="EPAC"/>
      </filters>
    </filterColumn>
  </autoFilter>
  <conditionalFormatting sqref="A1:M1">
    <cfRule type="notContainsBlanks" dxfId="7" priority="1">
      <formula>LEN(TRIM(A1))&gt;0</formula>
    </cfRule>
  </conditionalFormatting>
  <dataValidations>
    <dataValidation type="list" allowBlank="1" showErrorMessage="1" sqref="G2 G14">
      <formula1>Medidas</formula1>
    </dataValidation>
    <dataValidation type="list" allowBlank="1" showErrorMessage="1" sqref="G4:G13 G15:G283 G324:G326">
      <formula1>"unid.,metros,bocas"</formula1>
    </dataValidation>
    <dataValidation type="list" allowBlank="1" sqref="M2:M323">
      <formula1>"SI,NO,---"</formula1>
    </dataValidation>
    <dataValidation type="list" allowBlank="1" showErrorMessage="1" sqref="I15:I61 I75:I323">
      <formula1>Potabilidad</formula1>
    </dataValidation>
    <dataValidation type="list" allowBlank="1" showErrorMessage="1" sqref="G3 G286:G323">
      <formula1>"unid.,metros,bocas,---"</formula1>
    </dataValidation>
    <dataValidation type="list" allowBlank="1" showErrorMessage="1" sqref="I3:I14">
      <formula1>"Si,No,Necesario Herramientas,Necesario Herramientas Especiales,---"</formula1>
    </dataValidation>
    <dataValidation type="list" allowBlank="1" showErrorMessage="1" sqref="I2 I62:I74">
      <formula1>"Si,No,Necesario Herramientas,Necesario Herramientas Especiales,---"</formula1>
    </dataValidation>
  </dataValidation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4.88"/>
  </cols>
  <sheetData>
    <row r="1">
      <c r="A1" s="2" t="str">
        <f>Presupuesto!B15</f>
        <v>Visita de inspeccion   </v>
      </c>
      <c r="B1" s="2" t="str">
        <f>Presupuesto!B16</f>
        <v>Visita de Inspección - Bonificación   </v>
      </c>
      <c r="C1" s="2" t="str">
        <f>Presupuesto!B17</f>
        <v>Recableado (incluye sacar artef, llaves y colocar nueva instalación) por Boca   </v>
      </c>
      <c r="D1" s="2" t="str">
        <f>Presupuesto!B18</f>
        <v>Otros Descuentos 45 % </v>
      </c>
      <c r="E1" s="2" t="str">
        <f>Presupuesto!B19</f>
        <v>   </v>
      </c>
      <c r="F1" s="2" t="str">
        <f>Presupuesto!B20</f>
        <v>   </v>
      </c>
      <c r="G1" s="2" t="str">
        <f>Presupuesto!B21</f>
        <v>   </v>
      </c>
      <c r="H1" s="2" t="str">
        <f>Presupuesto!B22</f>
        <v>   </v>
      </c>
      <c r="I1" s="2" t="str">
        <f>Presupuesto!B23</f>
        <v>   </v>
      </c>
      <c r="J1" s="2" t="str">
        <f>Presupuesto!B24</f>
        <v>   </v>
      </c>
      <c r="K1" s="2" t="str">
        <f>Presupuesto!B25</f>
        <v>   </v>
      </c>
      <c r="L1" s="2" t="str">
        <f>Presupuesto!B26</f>
        <v>   </v>
      </c>
      <c r="M1" s="2" t="str">
        <f>Presupuesto!B27</f>
        <v>   </v>
      </c>
      <c r="N1" s="2" t="str">
        <f>Presupuesto!B28</f>
        <v>   </v>
      </c>
      <c r="O1" s="2" t="str">
        <f>Presupuesto!B29</f>
        <v>   </v>
      </c>
      <c r="P1" s="2" t="str">
        <f>Presupuesto!B30</f>
        <v>   </v>
      </c>
      <c r="Q1" s="2" t="str">
        <f>Presupuesto!B31</f>
        <v>   </v>
      </c>
      <c r="R1" s="2" t="str">
        <f>Presupuesto!B32</f>
        <v>   </v>
      </c>
      <c r="S1" s="2" t="str">
        <f>Presupuesto!B33</f>
        <v>   </v>
      </c>
      <c r="T1" s="2" t="str">
        <f>Presupuesto!B34</f>
        <v>   </v>
      </c>
      <c r="U1" s="2" t="str">
        <f>Presupuesto!B35</f>
        <v>   </v>
      </c>
      <c r="V1" s="2" t="str">
        <f>Presupuesto!B36</f>
        <v>Acometida Trifásica aérea, hasta 10kw con sistema doble aislación   </v>
      </c>
      <c r="W1" s="2" t="str">
        <f>Presupuesto!B37</f>
        <v>Acometida Trifásica de 11 a 35kw   </v>
      </c>
      <c r="X1" s="2" t="str">
        <f>Presupuesto!B38</f>
        <v/>
      </c>
    </row>
    <row r="2">
      <c r="A2" s="2" t="str">
        <f>IFERROR(__xludf.DUMMYFUNCTION("FILTER(Precios!$D$2:$D$574,A1=Precios!$C$2:$C$574,""SI""=Precios!$M2:$M574)"),"#N/A")</f>
        <v>#N/A</v>
      </c>
      <c r="B2" s="2" t="str">
        <f>IFERROR(__xludf.DUMMYFUNCTION("FILTER(Precios!$D$2:$D$574,B1=Precios!$C$2:$C$574,""SI""=Precios!$M2:$M574)"),"#N/A")</f>
        <v>#N/A</v>
      </c>
      <c r="C2" s="2" t="str">
        <f>IFERROR(__xludf.DUMMYFUNCTION("FILTER(Precios!$D$2:$D$574,C1=Precios!$C$2:$C$574,""SI""=Precios!$M2:$M574)"),"#N/A")</f>
        <v>#N/A</v>
      </c>
      <c r="D2" s="2" t="str">
        <f>IFERROR(__xludf.DUMMYFUNCTION("FILTER(Precios!$D$2:$D$574,D1=Precios!$C$2:$C$574,""SI""=Precios!$M2:$M574)"),"#N/A")</f>
        <v>#N/A</v>
      </c>
      <c r="E2" s="2" t="str">
        <f>IFERROR(__xludf.DUMMYFUNCTION("FILTER(Precios!$D$2:$D$574,E1=Precios!$C$2:$C$574,""SI""=Precios!$M2:$M574)"),"#N/A")</f>
        <v>#N/A</v>
      </c>
      <c r="F2" s="2" t="str">
        <f>IFERROR(__xludf.DUMMYFUNCTION("FILTER(Precios!$D$2:$D$574,F1=Precios!$C$2:$C$574,""SI""=Precios!$M2:$M574)"),"#N/A")</f>
        <v>#N/A</v>
      </c>
      <c r="G2" s="2" t="str">
        <f>IFERROR(__xludf.DUMMYFUNCTION("FILTER(Precios!$D$2:$D$574,G1=Precios!$C$2:$C$574,""SI""=Precios!$M2:$M574)"),"#N/A")</f>
        <v>#N/A</v>
      </c>
      <c r="H2" s="2" t="str">
        <f>IFERROR(__xludf.DUMMYFUNCTION("FILTER(Precios!$D$2:$D$574,H1=Precios!$C$2:$C$574,""SI""=Precios!$M2:$M574)"),"#N/A")</f>
        <v>#N/A</v>
      </c>
      <c r="I2" s="2" t="str">
        <f>IFERROR(__xludf.DUMMYFUNCTION("FILTER(Precios!$D$2:$D$574,I1=Precios!$C$2:$C$574,""SI""=Precios!$M2:$M574)"),"#N/A")</f>
        <v>#N/A</v>
      </c>
      <c r="J2" s="2" t="str">
        <f>IFERROR(__xludf.DUMMYFUNCTION("FILTER(Precios!$D$2:$D$574,J1=Precios!$C$2:$C$574,""SI""=Precios!$M2:$M574)"),"#N/A")</f>
        <v>#N/A</v>
      </c>
      <c r="K2" s="2" t="str">
        <f>IFERROR(__xludf.DUMMYFUNCTION("FILTER(Precios!$D$2:$D$574,K1=Precios!$C$2:$C$574,""SI""=Precios!$M2:$M574)"),"#N/A")</f>
        <v>#N/A</v>
      </c>
      <c r="L2" s="2" t="str">
        <f>IFERROR(__xludf.DUMMYFUNCTION("FILTER(Precios!$D$2:$D$574,L1=Precios!$C$2:$C$574,""SI""=Precios!$M2:$M574)"),"#N/A")</f>
        <v>#N/A</v>
      </c>
      <c r="M2" s="2" t="str">
        <f>IFERROR(__xludf.DUMMYFUNCTION("FILTER(Precios!$D$2:$D$574,M1=Precios!$C$2:$C$574,""SI""=Precios!$M2:$M574)"),"#N/A")</f>
        <v>#N/A</v>
      </c>
      <c r="N2" s="2" t="str">
        <f>IFERROR(__xludf.DUMMYFUNCTION("FILTER(Precios!$D$2:$D$574,N1=Precios!$C$2:$C$574,""SI""=Precios!$M2:$M574)"),"#N/A")</f>
        <v>#N/A</v>
      </c>
      <c r="O2" s="2" t="str">
        <f>IFERROR(__xludf.DUMMYFUNCTION("FILTER(Precios!$D$2:$D$574,O1=Precios!$C$2:$C$574,""SI""=Precios!$M2:$M574)"),"#N/A")</f>
        <v>#N/A</v>
      </c>
      <c r="P2" s="2" t="str">
        <f>IFERROR(__xludf.DUMMYFUNCTION("FILTER(Precios!$D$2:$D$574,P1=Precios!$C$2:$C$574,""SI""=Precios!$M2:$M574)"),"#N/A")</f>
        <v>#N/A</v>
      </c>
      <c r="Q2" s="2" t="str">
        <f>IFERROR(__xludf.DUMMYFUNCTION("FILTER(Precios!$D$2:$D$574,Q1=Precios!$C$2:$C$574,""SI""=Precios!$M2:$M574)"),"#N/A")</f>
        <v>#N/A</v>
      </c>
      <c r="R2" s="2" t="str">
        <f>IFERROR(__xludf.DUMMYFUNCTION("FILTER(Precios!$D$2:$D$574,R1=Precios!$C$2:$C$574,""SI""=Precios!$M2:$M574)"),"#N/A")</f>
        <v>#N/A</v>
      </c>
      <c r="S2" s="2" t="str">
        <f>IFERROR(__xludf.DUMMYFUNCTION("FILTER(Precios!$D$2:$D$574,S1=Precios!$C$2:$C$574,""SI""=Precios!$M2:$M574)"),"#N/A")</f>
        <v>#N/A</v>
      </c>
      <c r="T2" s="2" t="str">
        <f>IFERROR(__xludf.DUMMYFUNCTION("FILTER(Precios!$D$2:$D$574,T1=Precios!$C$2:$C$574,""SI""=Precios!$M2:$M574)"),"#N/A")</f>
        <v>#N/A</v>
      </c>
      <c r="U2" s="2" t="str">
        <f>IFERROR(__xludf.DUMMYFUNCTION("FILTER(Precios!$D$2:$D$574,U1=Precios!$C$2:$C$574,""SI""=Precios!$M2:$M574)"),"#N/A")</f>
        <v>#N/A</v>
      </c>
      <c r="V2" s="2" t="str">
        <f>IFERROR(__xludf.DUMMYFUNCTION("FILTER(Precios!$D$2:$D$574,V1=Precios!$C$2:$C$574,""SI""=Precios!$M2:$M574)"),"#N/A")</f>
        <v>#N/A</v>
      </c>
      <c r="W2" s="2" t="str">
        <f>IFERROR(__xludf.DUMMYFUNCTION("FILTER(Precios!$D$2:$D$574,W1=Precios!$C$2:$C$574,""SI""=Precios!$M2:$M574)"),"#N/A")</f>
        <v>#N/A</v>
      </c>
      <c r="X2" s="2" t="str">
        <f>IFERROR(__xludf.DUMMYFUNCTION("FILTER(Precios!$D$2:$D$574,X1=Precios!$C$2:$C$574,""SI""=Precios!$M2:$M574)"),"CANALIZACIÓN EMBUTIDA")</f>
        <v>CANALIZACIÓN EMBUTIDA</v>
      </c>
    </row>
    <row r="3">
      <c r="X3" s="2" t="str">
        <f>IFERROR(__xludf.DUMMYFUNCTION("""COMPUTED_VALUE"""),"CANALIZACIÓN EMBUTIDA EN DURLOCK")</f>
        <v>CANALIZACIÓN EMBUTIDA EN DURLOCK</v>
      </c>
    </row>
    <row r="4">
      <c r="X4" s="2" t="str">
        <f>IFERROR(__xludf.DUMMYFUNCTION("""COMPUTED_VALUE"""),"CANALIZACIÓN EXTERIOR ")</f>
        <v>CANALIZACIÓN EXTERIOR </v>
      </c>
    </row>
    <row r="5">
      <c r="X5" s="2" t="str">
        <f>IFERROR(__xludf.DUMMYFUNCTION("""COMPUTED_VALUE"""),"CANALIZACIÓN DE CABLE CANAL")</f>
        <v>CANALIZACIÓN DE CABLE CANAL</v>
      </c>
    </row>
    <row r="6">
      <c r="X6" s="2" t="str">
        <f>IFERROR(__xludf.DUMMYFUNCTION("""COMPUTED_VALUE"""),"CANALIZACIÓN Y CABLEADO CON PISO DUCTOS / POLIDUCTOS ")</f>
        <v>CANALIZACIÓN Y CABLEADO CON PISO DUCTOS / POLIDUCTOS </v>
      </c>
    </row>
    <row r="7">
      <c r="X7" s="2" t="str">
        <f>IFERROR(__xludf.DUMMYFUNCTION("""COMPUTED_VALUE"""),"CANALIZACIÓN CON BANDEJAS PORTA CABLES Y PERFIL C")</f>
        <v>CANALIZACIÓN CON BANDEJAS PORTA CABLES Y PERFIL C</v>
      </c>
    </row>
    <row r="8">
      <c r="X8" s="2" t="str">
        <f>IFERROR(__xludf.DUMMYFUNCTION("""COMPUTED_VALUE"""),"CABLEADOS EN CAÑERÍAS ")</f>
        <v>CABLEADOS EN CAÑERÍAS </v>
      </c>
    </row>
    <row r="9">
      <c r="X9" s="2" t="str">
        <f>IFERROR(__xludf.DUMMYFUNCTION("""COMPUTED_VALUE"""),"CABLEADO EN BANDEJAS PORTA CABLES ")</f>
        <v>CABLEADO EN BANDEJAS PORTA CABLES </v>
      </c>
    </row>
    <row r="10">
      <c r="X10" s="2" t="str">
        <f>IFERROR(__xludf.DUMMYFUNCTION("""COMPUTED_VALUE"""),"COLOCACIÓN DE INTERRUPTORES, TOMAS, ETC.")</f>
        <v>COLOCACIÓN DE INTERRUPTORES, TOMAS, ETC.</v>
      </c>
    </row>
    <row r="11">
      <c r="X11" s="2" t="str">
        <f>IFERROR(__xludf.DUMMYFUNCTION("""COMPUTED_VALUE"""),"COLOCACIÓN DE ARTEFACTOS")</f>
        <v>COLOCACIÓN DE ARTEFACTOS</v>
      </c>
    </row>
    <row r="12">
      <c r="X12" s="2" t="str">
        <f>IFERROR(__xludf.DUMMYFUNCTION("""COMPUTED_VALUE"""),"COLOCACIÓN DE ELEMENTOS DE PROTECCIÓN Y COMANDO")</f>
        <v>COLOCACIÓN DE ELEMENTOS DE PROTECCIÓN Y COMANDO</v>
      </c>
    </row>
    <row r="13">
      <c r="X13" s="2" t="str">
        <f>IFERROR(__xludf.DUMMYFUNCTION("""COMPUTED_VALUE"""),"TABLERO DE COMANDO DE MOTORES")</f>
        <v>TABLERO DE COMANDO DE MOTORES</v>
      </c>
    </row>
    <row r="14">
      <c r="X14" s="2" t="str">
        <f>IFERROR(__xludf.DUMMYFUNCTION("""COMPUTED_VALUE"""),"EMERGENCIAS ")</f>
        <v>EMERGENCIAS </v>
      </c>
    </row>
    <row r="15">
      <c r="X15" s="2" t="str">
        <f>IFERROR(__xludf.DUMMYFUNCTION("""COMPUTED_VALUE"""),"MANTENIMIENTO DE TABLEROS ELÉCTRICOS E INSTALACIONES ELECTRICAS")</f>
        <v>MANTENIMIENTO DE TABLEROS ELÉCTRICOS E INSTALACIONES ELECTRICAS</v>
      </c>
    </row>
    <row r="16">
      <c r="X16" s="2" t="str">
        <f>IFERROR(__xludf.DUMMYFUNCTION("""COMPUTED_VALUE"""),"VARIOS BAJA TENSIÓN ")</f>
        <v>VARIOS BAJA TENSIÓN </v>
      </c>
    </row>
    <row r="17">
      <c r="X17" s="2" t="str">
        <f>IFERROR(__xludf.DUMMYFUNCTION("""COMPUTED_VALUE"""),"COLOCACIÓN DE PORTERO ELÉCTRICO UNIFAMILIAR")</f>
        <v>COLOCACIÓN DE PORTERO ELÉCTRICO UNIFAMILIAR</v>
      </c>
    </row>
    <row r="18">
      <c r="X18" s="2" t="str">
        <f>IFERROR(__xludf.DUMMYFUNCTION("""COMPUTED_VALUE"""),"COLOCACIÓN DE PORTERO ELÉCTRICO EN EDIFICIO (AUDIO SOLO) MULTIFAMILIAR")</f>
        <v>COLOCACIÓN DE PORTERO ELÉCTRICO EN EDIFICIO (AUDIO SOLO) MULTIFAMILIAR</v>
      </c>
    </row>
    <row r="19">
      <c r="X19" s="2" t="str">
        <f>IFERROR(__xludf.DUMMYFUNCTION("""COMPUTED_VALUE"""),"SISTEMAS DE SEGURIDAD")</f>
        <v>SISTEMAS DE SEGURIDAD</v>
      </c>
    </row>
    <row r="20">
      <c r="X20" s="2" t="str">
        <f>IFERROR(__xludf.DUMMYFUNCTION("""COMPUTED_VALUE"""),"VARIOS CORRIENTES DÉBILES ")</f>
        <v>VARIOS CORRIENTES DÉBILES </v>
      </c>
    </row>
    <row r="21">
      <c r="X21" s="2" t="str">
        <f>IFERROR(__xludf.DUMMYFUNCTION("""COMPUTED_VALUE"""),"COMPUESTO DE INSTALACONES EMBUTIDAS")</f>
        <v>COMPUESTO DE INSTALACONES EMBUTIDAS</v>
      </c>
    </row>
    <row r="22">
      <c r="X22" s="2" t="str">
        <f>IFERROR(__xludf.DUMMYFUNCTION("""COMPUTED_VALUE"""),"COMPUESTO DE CANALIZACIÓN EXTERIOR ")</f>
        <v>COMPUESTO DE CANALIZACIÓN EXTERIOR </v>
      </c>
    </row>
    <row r="23">
      <c r="X23" s="2" t="str">
        <f>IFERROR(__xludf.DUMMYFUNCTION("""COMPUTED_VALUE"""),"COMPUESTO DE INSTALACIONES CON CABLE CANAL")</f>
        <v>COMPUESTO DE INSTALACIONES CON CABLE CANAL</v>
      </c>
    </row>
    <row r="24">
      <c r="X24" s="2" t="str">
        <f>IFERROR(__xludf.DUMMYFUNCTION("""COMPUTED_VALUE"""),"COMPUESTO ACOMETIDA")</f>
        <v>COMPUESTO ACOMETIDA</v>
      </c>
    </row>
    <row r="25">
      <c r="X25" s="2" t="str">
        <f>IFERROR(__xludf.DUMMYFUNCTION("""COMPUTED_VALUE"""),"PERSONAL CONTRATADO")</f>
        <v>PERSONAL CONTRATADO</v>
      </c>
    </row>
    <row r="26">
      <c r="X26" s="2" t="str">
        <f>IFERROR(__xludf.DUMMYFUNCTION("""COMPUTED_VALUE"""),"Nueva Categoría ")</f>
        <v>Nueva Categoría </v>
      </c>
    </row>
    <row r="27">
      <c r="X27" s="2" t="str">
        <f>IFERROR(__xludf.DUMMYFUNCTION("""COMPUTED_VALUE"""),"PURIFICACION (EI)")</f>
        <v>PURIFICACION (EI)</v>
      </c>
    </row>
    <row r="28">
      <c r="X28" s="2" t="str">
        <f>IFERROR(__xludf.DUMMYFUNCTION("""COMPUTED_VALUE"""),"ELECTROINSTALADOR (Otros)")</f>
        <v>ELECTROINSTALADOR (Otros)</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pageSetUpPr/>
  </sheetPr>
  <sheetViews>
    <sheetView showGridLines="0" workbookViewId="0"/>
  </sheetViews>
  <sheetFormatPr customHeight="1" defaultColWidth="12.63" defaultRowHeight="15.0"/>
  <cols>
    <col customWidth="1" min="1" max="1" width="6.13"/>
    <col customWidth="1" min="2" max="2" width="3.38"/>
    <col customWidth="1" min="3" max="3" width="6.63"/>
    <col customWidth="1" min="4" max="5" width="0.88"/>
    <col customWidth="1" min="6" max="6" width="18.0"/>
    <col customWidth="1" min="7" max="7" width="32.0"/>
    <col customWidth="1" min="8" max="8" width="3.75"/>
    <col customWidth="1" min="9" max="9" width="6.0"/>
    <col customWidth="1" min="10" max="10" width="1.0"/>
    <col customWidth="1" min="11" max="11" width="7.13"/>
    <col customWidth="1" min="12" max="12" width="12.38"/>
  </cols>
  <sheetData>
    <row r="1" ht="19.5" customHeight="1">
      <c r="A1" s="88" t="s">
        <v>155</v>
      </c>
      <c r="H1" s="89"/>
      <c r="I1" s="89"/>
      <c r="J1" s="89"/>
      <c r="K1" s="89"/>
      <c r="L1" s="89"/>
    </row>
    <row r="2" ht="12.0" customHeight="1">
      <c r="A2" s="90" t="s">
        <v>157</v>
      </c>
      <c r="D2" s="91"/>
      <c r="E2" s="92"/>
      <c r="F2" s="93" t="str">
        <f>IFERROR(UPPER(CONCATENATE(LEFT(F6,2),MID(F6,SEARCH(" ",F6)+1,1),"-",TEXT(F4,"DD"),TEXT(F4,"MM"))), "")</f>
        <v>PEM-1402</v>
      </c>
      <c r="H2" s="89"/>
      <c r="I2" s="89"/>
      <c r="J2" s="89"/>
      <c r="K2" s="89"/>
      <c r="L2" s="89"/>
    </row>
    <row r="3" ht="6.0" customHeight="1">
      <c r="A3" s="94"/>
      <c r="B3" s="94"/>
      <c r="C3" s="94"/>
      <c r="D3" s="95"/>
      <c r="E3" s="89"/>
      <c r="F3" s="94"/>
      <c r="G3" s="94"/>
      <c r="H3" s="94"/>
      <c r="I3" s="89"/>
      <c r="J3" s="89"/>
      <c r="K3" s="89"/>
      <c r="L3" s="89"/>
    </row>
    <row r="4" ht="12.0" customHeight="1">
      <c r="A4" s="96" t="s">
        <v>164</v>
      </c>
      <c r="D4" s="91"/>
      <c r="E4" s="92"/>
      <c r="F4" s="97">
        <f>Carga!B2</f>
        <v>46067</v>
      </c>
      <c r="H4" s="89"/>
      <c r="I4" s="89"/>
      <c r="J4" s="89"/>
      <c r="K4" s="89"/>
      <c r="L4" s="89"/>
    </row>
    <row r="5" ht="6.0" customHeight="1">
      <c r="A5" s="94"/>
      <c r="B5" s="94"/>
      <c r="C5" s="94"/>
      <c r="D5" s="95"/>
      <c r="E5" s="89"/>
      <c r="F5" s="94"/>
      <c r="G5" s="94"/>
      <c r="H5" s="89"/>
      <c r="I5" s="89"/>
      <c r="J5" s="89"/>
      <c r="K5" s="89"/>
      <c r="L5" s="89"/>
    </row>
    <row r="6" ht="12.0" customHeight="1">
      <c r="A6" s="96" t="s">
        <v>169</v>
      </c>
      <c r="D6" s="91"/>
      <c r="E6" s="92"/>
      <c r="F6" s="98" t="str">
        <f>Carga!B3</f>
        <v>Pepito monje</v>
      </c>
      <c r="H6" s="89"/>
      <c r="I6" s="89"/>
      <c r="J6" s="89"/>
      <c r="K6" s="89"/>
      <c r="L6" s="89"/>
    </row>
    <row r="7" ht="5.25" customHeight="1">
      <c r="A7" s="94"/>
      <c r="B7" s="94"/>
      <c r="C7" s="94"/>
      <c r="D7" s="95"/>
      <c r="E7" s="89"/>
      <c r="F7" s="94"/>
      <c r="G7" s="94"/>
      <c r="H7" s="89"/>
      <c r="I7" s="89"/>
      <c r="J7" s="89"/>
      <c r="K7" s="89"/>
      <c r="L7" s="89"/>
    </row>
    <row r="8" ht="12.0" customHeight="1">
      <c r="A8" s="96" t="s">
        <v>172</v>
      </c>
      <c r="D8" s="91"/>
      <c r="E8" s="92"/>
      <c r="F8" s="98" t="str">
        <f>Carga!B4</f>
        <v>Guntanamera 1020</v>
      </c>
      <c r="H8" s="89"/>
      <c r="I8" s="89"/>
      <c r="J8" s="89"/>
      <c r="K8" s="89"/>
      <c r="L8" s="89"/>
    </row>
    <row r="9" ht="9.75" customHeight="1">
      <c r="A9" s="89"/>
      <c r="B9" s="89"/>
      <c r="C9" s="89"/>
      <c r="D9" s="89"/>
      <c r="E9" s="89"/>
      <c r="F9" s="89"/>
      <c r="G9" s="89"/>
      <c r="H9" s="89"/>
      <c r="I9" s="89"/>
      <c r="J9" s="89"/>
      <c r="K9" s="89"/>
      <c r="L9" s="89"/>
    </row>
    <row r="10" ht="9.75" customHeight="1">
      <c r="A10" s="89"/>
      <c r="B10" s="89"/>
      <c r="C10" s="89"/>
      <c r="D10" s="89"/>
      <c r="E10" s="89"/>
      <c r="F10" s="89"/>
      <c r="G10" s="89"/>
      <c r="H10" s="89"/>
      <c r="I10" s="89"/>
      <c r="J10" s="89"/>
      <c r="K10" s="89"/>
      <c r="L10" s="89"/>
    </row>
    <row r="11" ht="8.25" customHeight="1">
      <c r="A11" s="89"/>
      <c r="B11" s="89"/>
      <c r="C11" s="89"/>
      <c r="D11" s="89"/>
      <c r="E11" s="89"/>
      <c r="F11" s="89"/>
      <c r="G11" s="89"/>
      <c r="H11" s="89"/>
      <c r="I11" s="89"/>
      <c r="J11" s="89"/>
      <c r="K11" s="89"/>
      <c r="L11" s="89"/>
    </row>
    <row r="12" ht="24.0" customHeight="1">
      <c r="A12" s="99" t="s">
        <v>34</v>
      </c>
      <c r="B12" s="100"/>
      <c r="C12" s="101" t="s">
        <v>18</v>
      </c>
      <c r="D12" s="102"/>
      <c r="E12" s="102"/>
      <c r="F12" s="102"/>
      <c r="G12" s="102"/>
      <c r="H12" s="103" t="s">
        <v>1</v>
      </c>
      <c r="I12" s="102"/>
      <c r="J12" s="104"/>
      <c r="K12" s="105" t="s">
        <v>20</v>
      </c>
      <c r="L12" s="105" t="s">
        <v>180</v>
      </c>
    </row>
    <row r="13" ht="9.0" customHeight="1">
      <c r="A13" s="106"/>
      <c r="B13" s="106"/>
      <c r="C13" s="107"/>
      <c r="D13" s="107"/>
      <c r="E13" s="107"/>
      <c r="F13" s="107"/>
      <c r="G13" s="107"/>
      <c r="H13" s="108"/>
      <c r="I13" s="108"/>
      <c r="J13" s="108"/>
      <c r="K13" s="109"/>
      <c r="L13" s="109"/>
    </row>
    <row r="14" ht="12.75" customHeight="1">
      <c r="A14" s="110"/>
      <c r="B14" s="110"/>
      <c r="C14" s="110"/>
      <c r="D14" s="110"/>
      <c r="E14" s="110"/>
      <c r="F14" s="110"/>
      <c r="G14" s="110"/>
      <c r="H14" s="110"/>
      <c r="I14" s="110"/>
      <c r="J14" s="110"/>
      <c r="K14" s="110"/>
      <c r="L14" s="110"/>
    </row>
    <row r="15" ht="20.25" customHeight="1">
      <c r="A15" s="111" t="str">
        <f>IFERROR(VLOOKUP(Carga!B8,Precios!D:H,5,0), "")</f>
        <v/>
      </c>
      <c r="B15" s="112" t="str">
        <f>CONCATENATE(Carga!B8," ",Carga!C8," ",Carga!D8," ",Carga!E8)</f>
        <v>Visita de inspeccion   </v>
      </c>
      <c r="H15" s="113">
        <f>Carga!F8</f>
        <v>1</v>
      </c>
      <c r="I15" s="114" t="str">
        <f>IFERROR(VLOOKUP(Carga!B8,Precios!D:G,4,0), "")</f>
        <v/>
      </c>
      <c r="J15" s="114"/>
      <c r="K15" s="115" t="str">
        <f>IFERROR(VLOOKUP(Carga!B8,Precios!D:E,2,0), "")</f>
        <v/>
      </c>
      <c r="L15" s="115" t="str">
        <f>Carga!M8</f>
        <v/>
      </c>
    </row>
    <row r="16" ht="20.25" customHeight="1">
      <c r="A16" s="111" t="str">
        <f>IFERROR(VLOOKUP(Carga!B9,Precios!D:H,5,0), "")</f>
        <v/>
      </c>
      <c r="B16" s="112" t="str">
        <f>CONCATENATE(Carga!B9," ",Carga!C9," ",Carga!D9," ",Carga!E9)</f>
        <v>Visita de Inspección - Bonificación   </v>
      </c>
      <c r="H16" s="113">
        <f>Carga!F9</f>
        <v>1</v>
      </c>
      <c r="I16" s="114" t="str">
        <f>IFERROR(VLOOKUP(Carga!B9,Precios!D:G,4,0), "")</f>
        <v/>
      </c>
      <c r="J16" s="114"/>
      <c r="K16" s="115" t="str">
        <f>IFERROR(VLOOKUP(Carga!B9,Precios!D:E,2,0), "")</f>
        <v/>
      </c>
      <c r="L16" s="115" t="str">
        <f>Carga!M9</f>
        <v/>
      </c>
    </row>
    <row r="17" ht="20.25" customHeight="1">
      <c r="A17" s="111" t="str">
        <f>IFERROR(VLOOKUP(Carga!B10,Precios!D:H,5,0), "")</f>
        <v>08-03</v>
      </c>
      <c r="B17" s="112" t="str">
        <f>CONCATENATE(Carga!B10," ",Carga!C10," ",Carga!D10," ",Carga!E10)</f>
        <v>Recableado (incluye sacar artef, llaves y colocar nueva instalación) por Boca   </v>
      </c>
      <c r="H17" s="113">
        <f>Carga!F10</f>
        <v>1</v>
      </c>
      <c r="I17" s="114" t="str">
        <f>IFERROR(VLOOKUP(Carga!B10,Precios!D:G,4,0), "")</f>
        <v>bocas</v>
      </c>
      <c r="J17" s="114"/>
      <c r="K17" s="115">
        <f>IFERROR(VLOOKUP(Carga!B10,Precios!D:E,2,0), "")</f>
        <v>56500</v>
      </c>
      <c r="L17" s="115">
        <f>Carga!M10</f>
        <v>56500</v>
      </c>
    </row>
    <row r="18" ht="20.25" customHeight="1">
      <c r="A18" s="111" t="str">
        <f>IFERROR(VLOOKUP(Carga!B11,Precios!D:H,5,0), "")</f>
        <v/>
      </c>
      <c r="B18" s="112" t="str">
        <f>CONCATENATE(Carga!B11," ",Carga!C11," ",Carga!D11," ",Carga!E11)</f>
        <v>Otros Descuentos 45 % </v>
      </c>
      <c r="H18" s="113" t="str">
        <f>Carga!F11</f>
        <v/>
      </c>
      <c r="I18" s="114" t="str">
        <f>IFERROR(VLOOKUP(Carga!B11,Precios!D:G,4,0), "")</f>
        <v/>
      </c>
      <c r="J18" s="114"/>
      <c r="K18" s="115" t="str">
        <f>IFERROR(VLOOKUP(Carga!B11,Precios!D:E,2,0), "")</f>
        <v/>
      </c>
      <c r="L18" s="115">
        <f>Carga!M11</f>
        <v>-155475</v>
      </c>
    </row>
    <row r="19" ht="20.25" customHeight="1">
      <c r="A19" s="111" t="str">
        <f>IFERROR(VLOOKUP(Carga!B12,Precios!D:H,5,0), "")</f>
        <v/>
      </c>
      <c r="B19" s="112" t="str">
        <f>CONCATENATE(Carga!B12," ",Carga!C12," ",Carga!D12," ",Carga!E12)</f>
        <v>   </v>
      </c>
      <c r="H19" s="113" t="str">
        <f>Carga!F12</f>
        <v/>
      </c>
      <c r="I19" s="114" t="str">
        <f>IFERROR(VLOOKUP(Carga!B12,Precios!D:G,4,0), "")</f>
        <v/>
      </c>
      <c r="J19" s="114"/>
      <c r="K19" s="115" t="str">
        <f>IFERROR(VLOOKUP(Carga!B12,Precios!D:E,2,0), "")</f>
        <v/>
      </c>
      <c r="L19" s="115" t="str">
        <f>Carga!M12</f>
        <v/>
      </c>
    </row>
    <row r="20" ht="20.25" customHeight="1">
      <c r="A20" s="111" t="str">
        <f>IFERROR(VLOOKUP(Carga!B13,Precios!D:H,5,0), "")</f>
        <v/>
      </c>
      <c r="B20" s="112" t="str">
        <f>CONCATENATE(Carga!B13," ",Carga!C13," ",Carga!D13," ",Carga!E13)</f>
        <v>   </v>
      </c>
      <c r="H20" s="113" t="str">
        <f>Carga!F13</f>
        <v/>
      </c>
      <c r="I20" s="114" t="str">
        <f>IFERROR(VLOOKUP(Carga!B13,Precios!D:G,4,0), "")</f>
        <v/>
      </c>
      <c r="J20" s="114"/>
      <c r="K20" s="115" t="str">
        <f>IFERROR(VLOOKUP(Carga!B13,Precios!D:E,2,0), "")</f>
        <v/>
      </c>
      <c r="L20" s="115" t="str">
        <f>Carga!M13</f>
        <v/>
      </c>
    </row>
    <row r="21" ht="20.25" customHeight="1">
      <c r="A21" s="111" t="str">
        <f>IFERROR(VLOOKUP(Carga!B14,Precios!D:H,5,0), "")</f>
        <v/>
      </c>
      <c r="B21" s="112" t="str">
        <f>CONCATENATE(Carga!B14," ",Carga!C14," ",Carga!D14," ",Carga!E14)</f>
        <v>   </v>
      </c>
      <c r="H21" s="113" t="str">
        <f>Carga!F14</f>
        <v/>
      </c>
      <c r="I21" s="114" t="str">
        <f>IFERROR(VLOOKUP(Carga!B14,Precios!D:G,4,0), "")</f>
        <v/>
      </c>
      <c r="J21" s="114"/>
      <c r="K21" s="115" t="str">
        <f>IFERROR(VLOOKUP(Carga!B14,Precios!D:E,2,0), "")</f>
        <v/>
      </c>
      <c r="L21" s="115" t="str">
        <f>Carga!M14</f>
        <v/>
      </c>
    </row>
    <row r="22" ht="20.25" customHeight="1">
      <c r="A22" s="111" t="str">
        <f>IFERROR(VLOOKUP(Carga!B15,Precios!D:H,5,0), "")</f>
        <v/>
      </c>
      <c r="B22" s="112" t="str">
        <f>CONCATENATE(Carga!B15," ",Carga!C15," ",Carga!D15," ",Carga!E15)</f>
        <v>   </v>
      </c>
      <c r="H22" s="113" t="str">
        <f>Carga!F15</f>
        <v/>
      </c>
      <c r="I22" s="114" t="str">
        <f>IFERROR(VLOOKUP(Carga!B15,Precios!D:G,4,0), "")</f>
        <v/>
      </c>
      <c r="J22" s="114"/>
      <c r="K22" s="115" t="str">
        <f>IFERROR(VLOOKUP(Carga!B15,Precios!D:E,2,0), "")</f>
        <v/>
      </c>
      <c r="L22" s="115" t="str">
        <f>Carga!M15</f>
        <v/>
      </c>
    </row>
    <row r="23" ht="20.25" customHeight="1">
      <c r="A23" s="111" t="str">
        <f>IFERROR(VLOOKUP(Carga!B16,Precios!D:H,5,0), "")</f>
        <v/>
      </c>
      <c r="B23" s="112" t="str">
        <f>CONCATENATE(Carga!B16," ",Carga!C16," ",Carga!D16," ",Carga!E16)</f>
        <v>   </v>
      </c>
      <c r="H23" s="113" t="str">
        <f>Carga!F16</f>
        <v/>
      </c>
      <c r="I23" s="114" t="str">
        <f>IFERROR(VLOOKUP(Carga!B16,Precios!D:G,4,0), "")</f>
        <v/>
      </c>
      <c r="J23" s="114"/>
      <c r="K23" s="115" t="str">
        <f>IFERROR(VLOOKUP(Carga!B16,Precios!D:E,2,0), "")</f>
        <v/>
      </c>
      <c r="L23" s="115" t="str">
        <f>Carga!M16</f>
        <v/>
      </c>
    </row>
    <row r="24" ht="20.25" customHeight="1">
      <c r="A24" s="111" t="str">
        <f>IFERROR(VLOOKUP(Carga!B17,Precios!D:H,5,0), "")</f>
        <v/>
      </c>
      <c r="B24" s="112" t="str">
        <f>CONCATENATE(Carga!B17," ",Carga!C17," ",Carga!D17," ",Carga!E17)</f>
        <v>   </v>
      </c>
      <c r="H24" s="113" t="str">
        <f>Carga!F17</f>
        <v/>
      </c>
      <c r="I24" s="114" t="str">
        <f>IFERROR(VLOOKUP(Carga!B17,Precios!D:G,4,0), "")</f>
        <v/>
      </c>
      <c r="J24" s="114"/>
      <c r="K24" s="115" t="str">
        <f>IFERROR(VLOOKUP(Carga!B17,Precios!D:E,2,0), "")</f>
        <v/>
      </c>
      <c r="L24" s="115" t="str">
        <f>Carga!M17</f>
        <v/>
      </c>
    </row>
    <row r="25" ht="20.25" customHeight="1">
      <c r="A25" s="111" t="str">
        <f>IFERROR(VLOOKUP(Carga!B18,Precios!D:H,5,0), "")</f>
        <v/>
      </c>
      <c r="B25" s="112" t="str">
        <f>CONCATENATE(Carga!B18," ",Carga!C18," ",Carga!D18," ",Carga!E18)</f>
        <v>   </v>
      </c>
      <c r="H25" s="113" t="str">
        <f>Carga!F18</f>
        <v/>
      </c>
      <c r="I25" s="114" t="str">
        <f>IFERROR(VLOOKUP(Carga!B18,Precios!D:G,4,0), "")</f>
        <v/>
      </c>
      <c r="J25" s="114"/>
      <c r="K25" s="115" t="str">
        <f>IFERROR(VLOOKUP(Carga!B18,Precios!D:E,2,0), "")</f>
        <v/>
      </c>
      <c r="L25" s="115" t="str">
        <f>Carga!M18</f>
        <v/>
      </c>
    </row>
    <row r="26" ht="20.25" customHeight="1">
      <c r="A26" s="111" t="str">
        <f>IFERROR(VLOOKUP(Carga!B19,Precios!D:H,5,0), "")</f>
        <v/>
      </c>
      <c r="B26" s="112" t="str">
        <f>CONCATENATE(Carga!B19," ",Carga!C19," ",Carga!D19," ",Carga!E19)</f>
        <v>   </v>
      </c>
      <c r="H26" s="113" t="str">
        <f>Carga!F19</f>
        <v/>
      </c>
      <c r="I26" s="114" t="str">
        <f>IFERROR(VLOOKUP(Carga!B19,Precios!D:G,4,0), "")</f>
        <v/>
      </c>
      <c r="J26" s="114"/>
      <c r="K26" s="115" t="str">
        <f>IFERROR(VLOOKUP(Carga!B19,Precios!D:E,2,0), "")</f>
        <v/>
      </c>
      <c r="L26" s="115" t="str">
        <f>Carga!M19</f>
        <v/>
      </c>
    </row>
    <row r="27" ht="20.25" customHeight="1">
      <c r="A27" s="111" t="str">
        <f>IFERROR(VLOOKUP(Carga!B20,Precios!D:H,5,0), "")</f>
        <v/>
      </c>
      <c r="B27" s="112" t="str">
        <f>CONCATENATE(Carga!B20," ",Carga!C20," ",Carga!D20," ",Carga!E20)</f>
        <v>   </v>
      </c>
      <c r="H27" s="113" t="str">
        <f>Carga!F20</f>
        <v/>
      </c>
      <c r="I27" s="114" t="str">
        <f>IFERROR(VLOOKUP(Carga!B20,Precios!D:G,4,0), "")</f>
        <v/>
      </c>
      <c r="J27" s="114"/>
      <c r="K27" s="115" t="str">
        <f>IFERROR(VLOOKUP(Carga!B20,Precios!D:E,2,0), "")</f>
        <v/>
      </c>
      <c r="L27" s="115" t="str">
        <f>Carga!M20</f>
        <v/>
      </c>
    </row>
    <row r="28" ht="20.25" customHeight="1">
      <c r="A28" s="111" t="str">
        <f>IFERROR(VLOOKUP(Carga!B21,Precios!D:H,5,0), "")</f>
        <v/>
      </c>
      <c r="B28" s="112" t="str">
        <f>CONCATENATE(Carga!B21," ",Carga!C21," ",Carga!D21," ",Carga!E21)</f>
        <v>   </v>
      </c>
      <c r="H28" s="113" t="str">
        <f>Carga!F21</f>
        <v/>
      </c>
      <c r="I28" s="114" t="str">
        <f>IFERROR(VLOOKUP(Carga!B21,Precios!D:G,4,0), "")</f>
        <v/>
      </c>
      <c r="J28" s="114"/>
      <c r="K28" s="115" t="str">
        <f>IFERROR(VLOOKUP(Carga!B21,Precios!D:E,2,0), "")</f>
        <v/>
      </c>
      <c r="L28" s="115" t="str">
        <f>Carga!M21</f>
        <v/>
      </c>
    </row>
    <row r="29" ht="20.25" customHeight="1">
      <c r="A29" s="111" t="str">
        <f>IFERROR(VLOOKUP(Carga!B22,Precios!D:H,5,0), "")</f>
        <v/>
      </c>
      <c r="B29" s="112" t="str">
        <f>CONCATENATE(Carga!B22," ",Carga!C22," ",Carga!D22," ",Carga!E22)</f>
        <v>   </v>
      </c>
      <c r="H29" s="113" t="str">
        <f>Carga!F22</f>
        <v/>
      </c>
      <c r="I29" s="114" t="str">
        <f>IFERROR(VLOOKUP(Carga!B22,Precios!D:G,4,0), "")</f>
        <v/>
      </c>
      <c r="J29" s="114"/>
      <c r="K29" s="115" t="str">
        <f>IFERROR(VLOOKUP(Carga!B22,Precios!D:E,2,0), "")</f>
        <v/>
      </c>
      <c r="L29" s="115" t="str">
        <f>Carga!M22</f>
        <v/>
      </c>
    </row>
    <row r="30" ht="20.25" customHeight="1">
      <c r="A30" s="111" t="str">
        <f>IFERROR(VLOOKUP(Carga!B23,Precios!D:H,5,0), "")</f>
        <v/>
      </c>
      <c r="B30" s="112" t="str">
        <f>CONCATENATE(Carga!B23," ",Carga!C23," ",Carga!D23," ",Carga!E23)</f>
        <v>   </v>
      </c>
      <c r="H30" s="113" t="str">
        <f>Carga!F23</f>
        <v/>
      </c>
      <c r="I30" s="114" t="str">
        <f>IFERROR(VLOOKUP(Carga!B23,Precios!D:G,4,0), "")</f>
        <v/>
      </c>
      <c r="J30" s="114"/>
      <c r="K30" s="115" t="str">
        <f>IFERROR(VLOOKUP(Carga!B23,Precios!D:E,2,0), "")</f>
        <v/>
      </c>
      <c r="L30" s="115" t="str">
        <f>Carga!M23</f>
        <v/>
      </c>
    </row>
    <row r="31" ht="20.25" customHeight="1">
      <c r="A31" s="111" t="str">
        <f>IFERROR(VLOOKUP(Carga!B24,Precios!D:H,5,0), "")</f>
        <v/>
      </c>
      <c r="B31" s="112" t="str">
        <f>CONCATENATE(Carga!B24," ",Carga!C24," ",Carga!D24," ",Carga!E24)</f>
        <v>   </v>
      </c>
      <c r="H31" s="113" t="str">
        <f>Carga!F24</f>
        <v/>
      </c>
      <c r="I31" s="114" t="str">
        <f>IFERROR(VLOOKUP(Carga!B24,Precios!D:G,4,0), "")</f>
        <v/>
      </c>
      <c r="J31" s="114"/>
      <c r="K31" s="115" t="str">
        <f>IFERROR(VLOOKUP(Carga!B24,Precios!D:E,2,0), "")</f>
        <v/>
      </c>
      <c r="L31" s="115" t="str">
        <f>Carga!M24</f>
        <v/>
      </c>
    </row>
    <row r="32" ht="20.25" customHeight="1">
      <c r="A32" s="111" t="str">
        <f>IFERROR(VLOOKUP(Carga!B25,Precios!D:H,5,0), "")</f>
        <v/>
      </c>
      <c r="B32" s="112" t="str">
        <f>CONCATENATE(Carga!B25," ",Carga!C25," ",Carga!D25," ",Carga!E25)</f>
        <v>   </v>
      </c>
      <c r="H32" s="113" t="str">
        <f>Carga!F25</f>
        <v/>
      </c>
      <c r="I32" s="114" t="str">
        <f>IFERROR(VLOOKUP(Carga!B25,Precios!D:G,4,0), "")</f>
        <v/>
      </c>
      <c r="J32" s="114"/>
      <c r="K32" s="115" t="str">
        <f>IFERROR(VLOOKUP(Carga!B25,Precios!D:E,2,0), "")</f>
        <v/>
      </c>
      <c r="L32" s="115" t="str">
        <f>Carga!M25</f>
        <v/>
      </c>
    </row>
    <row r="33" ht="20.25" customHeight="1">
      <c r="A33" s="111" t="str">
        <f>IFERROR(VLOOKUP(Carga!B26,Precios!D:H,5,0), "")</f>
        <v/>
      </c>
      <c r="B33" s="112" t="str">
        <f>CONCATENATE(Carga!B26," ",Carga!C26," ",Carga!D26," ",Carga!E26)</f>
        <v>   </v>
      </c>
      <c r="H33" s="113" t="str">
        <f>Carga!F26</f>
        <v/>
      </c>
      <c r="I33" s="114" t="str">
        <f>IFERROR(VLOOKUP(Carga!B26,Precios!D:G,4,0), "")</f>
        <v/>
      </c>
      <c r="J33" s="114"/>
      <c r="K33" s="115" t="str">
        <f>IFERROR(VLOOKUP(Carga!B26,Precios!D:E,2,0), "")</f>
        <v/>
      </c>
      <c r="L33" s="115" t="str">
        <f>Carga!M26</f>
        <v/>
      </c>
    </row>
    <row r="34" ht="20.25" customHeight="1">
      <c r="A34" s="111" t="str">
        <f>IFERROR(VLOOKUP(Carga!B27,Precios!D:H,5,0), "")</f>
        <v/>
      </c>
      <c r="B34" s="112" t="str">
        <f>CONCATENATE(Carga!B27," ",Carga!C27," ",Carga!D27," ",Carga!E27)</f>
        <v>   </v>
      </c>
      <c r="H34" s="113" t="str">
        <f>Carga!F27</f>
        <v/>
      </c>
      <c r="I34" s="114" t="str">
        <f>IFERROR(VLOOKUP(Carga!B27,Precios!D:G,4,0), "")</f>
        <v/>
      </c>
      <c r="J34" s="114"/>
      <c r="K34" s="115" t="str">
        <f>IFERROR(VLOOKUP(Carga!B27,Precios!D:E,2,0), "")</f>
        <v/>
      </c>
      <c r="L34" s="115" t="str">
        <f>Carga!M27</f>
        <v/>
      </c>
    </row>
    <row r="35" ht="20.25" customHeight="1">
      <c r="A35" s="111" t="str">
        <f>IFERROR(VLOOKUP(Carga!B28,Precios!D:H,5,0), "")</f>
        <v/>
      </c>
      <c r="B35" s="112" t="str">
        <f>CONCATENATE(Carga!B28," ",Carga!C28," ",Carga!D28," ",Carga!E28)</f>
        <v>   </v>
      </c>
      <c r="H35" s="113" t="str">
        <f>Carga!F28</f>
        <v/>
      </c>
      <c r="I35" s="114" t="str">
        <f>IFERROR(VLOOKUP(Carga!B28,Precios!D:G,4,0), "")</f>
        <v/>
      </c>
      <c r="J35" s="114"/>
      <c r="K35" s="115" t="str">
        <f>IFERROR(VLOOKUP(Carga!B28,Precios!D:E,2,0), "")</f>
        <v/>
      </c>
      <c r="L35" s="115" t="str">
        <f>Carga!M28</f>
        <v/>
      </c>
    </row>
    <row r="36" ht="20.25" customHeight="1">
      <c r="A36" s="111" t="str">
        <f>IFERROR(VLOOKUP(Carga!B29,Precios!D:H,5,0), "")</f>
        <v>01-02</v>
      </c>
      <c r="B36" s="112" t="str">
        <f>CONCATENATE(Carga!B29," ",Carga!C29," ",Carga!D29," ",Carga!E29)</f>
        <v>Acometida Trifásica aérea, hasta 10kw con sistema doble aislación   </v>
      </c>
      <c r="H36" s="113" t="str">
        <f>Carga!F29</f>
        <v/>
      </c>
      <c r="I36" s="129" t="str">
        <f>IFERROR(VLOOKUP(Carga!B29,Precios!D:G,4,0), "")</f>
        <v>unid.</v>
      </c>
      <c r="J36" s="114"/>
      <c r="K36" s="115">
        <f>IFERROR(VLOOKUP(Carga!B29,Precios!D:E,2,0), "")</f>
        <v>222000</v>
      </c>
      <c r="L36" s="115" t="str">
        <f>Carga!M29</f>
        <v/>
      </c>
    </row>
    <row r="37" ht="20.25" customHeight="1">
      <c r="A37" s="111" t="str">
        <f>IFERROR(VLOOKUP(Carga!B30,Precios!D:H,5,0), "")</f>
        <v>01-04</v>
      </c>
      <c r="B37" s="112" t="str">
        <f>CONCATENATE(Carga!B30," ",Carga!C30," ",Carga!D30," ",Carga!E30)</f>
        <v>Acometida Trifásica de 11 a 35kw   </v>
      </c>
      <c r="H37" s="113">
        <f>Carga!F30</f>
        <v>1</v>
      </c>
      <c r="I37" s="114" t="str">
        <f>IFERROR(VLOOKUP(Carga!B30,Precios!D:G,4,0), "")</f>
        <v>unid.</v>
      </c>
      <c r="J37" s="114"/>
      <c r="K37" s="115">
        <f>IFERROR(VLOOKUP(Carga!B30,Precios!D:E,2,0), "")</f>
        <v>289000</v>
      </c>
      <c r="L37" s="115">
        <f>Carga!M30</f>
        <v>289000</v>
      </c>
    </row>
    <row r="38" ht="9.75" customHeight="1">
      <c r="A38" s="103" t="s">
        <v>304</v>
      </c>
      <c r="B38" s="102"/>
      <c r="C38" s="102"/>
      <c r="D38" s="102"/>
      <c r="E38" s="102"/>
      <c r="F38" s="102"/>
      <c r="G38" s="102"/>
      <c r="H38" s="102"/>
      <c r="I38" s="102"/>
      <c r="J38" s="130"/>
      <c r="K38" s="131"/>
      <c r="L38" s="102"/>
    </row>
    <row r="39" ht="5.25" customHeight="1">
      <c r="A39" s="89"/>
      <c r="B39" s="89"/>
      <c r="C39" s="89"/>
      <c r="D39" s="89"/>
      <c r="E39" s="89"/>
      <c r="F39" s="89"/>
      <c r="G39" s="89"/>
      <c r="H39" s="89"/>
      <c r="I39" s="89"/>
      <c r="J39" s="89"/>
      <c r="K39" s="89"/>
      <c r="L39" s="89"/>
    </row>
    <row r="40" ht="3.75" customHeight="1">
      <c r="A40" s="132"/>
      <c r="B40" s="132"/>
      <c r="C40" s="132"/>
      <c r="D40" s="132"/>
      <c r="E40" s="132"/>
      <c r="F40" s="132"/>
      <c r="G40" s="132"/>
      <c r="H40" s="132"/>
      <c r="I40" s="132"/>
      <c r="J40" s="89"/>
      <c r="K40" s="133">
        <f>SUM(L15:L37)</f>
        <v>190025</v>
      </c>
      <c r="L40" s="134"/>
    </row>
    <row r="41" ht="15.0" customHeight="1">
      <c r="A41" s="135" t="str">
        <f>IF(Nota!E24=0, "",Nota!E24)</f>
        <v> /    /    / 08-03  Solo cableado, independientemente de la catidad de conductores. /    /    /    /    /    /    /    /    /    /    /    /    /    /    /    /    /    /    / 01-02  Acometidas de acuerdo a los planos típicos según ET21 de EPEC. S/Materiales, S/Certificación, no incluye trabajos de albañilería / 01-04  Sin nota</v>
      </c>
      <c r="J41" s="89"/>
      <c r="K41" s="136" t="s">
        <v>312</v>
      </c>
      <c r="L41" s="137">
        <f>Carga!M34</f>
        <v>345500</v>
      </c>
    </row>
    <row r="42" ht="15.0" customHeight="1">
      <c r="J42" s="89"/>
      <c r="K42" s="138" t="s">
        <v>315</v>
      </c>
      <c r="L42" s="137">
        <f>Carga!M35</f>
        <v>-155475</v>
      </c>
    </row>
    <row r="43" ht="5.25" customHeight="1">
      <c r="J43" s="89"/>
      <c r="K43" s="139"/>
    </row>
    <row r="44" ht="17.25" customHeight="1">
      <c r="J44" s="89"/>
      <c r="K44" s="140" t="s">
        <v>5</v>
      </c>
    </row>
    <row r="45" ht="37.5" customHeight="1">
      <c r="J45" s="89"/>
      <c r="K45" s="141">
        <f>Carga!M37</f>
        <v>190025</v>
      </c>
    </row>
    <row r="46" ht="3.75" customHeight="1">
      <c r="A46" s="132"/>
      <c r="B46" s="132"/>
      <c r="C46" s="132"/>
      <c r="D46" s="132"/>
      <c r="E46" s="132"/>
      <c r="F46" s="132"/>
      <c r="G46" s="132"/>
      <c r="H46" s="132"/>
      <c r="I46" s="132"/>
      <c r="J46" s="89"/>
      <c r="K46" s="89"/>
      <c r="L46" s="89"/>
    </row>
    <row r="47" ht="9.75" customHeight="1">
      <c r="A47" s="103" t="s">
        <v>320</v>
      </c>
      <c r="B47" s="102"/>
      <c r="C47" s="102"/>
      <c r="D47" s="102"/>
      <c r="E47" s="102"/>
      <c r="F47" s="102"/>
      <c r="G47" s="102"/>
      <c r="H47" s="102"/>
      <c r="I47" s="102"/>
      <c r="J47" s="102"/>
      <c r="K47" s="102"/>
      <c r="L47" s="102"/>
    </row>
    <row r="48" ht="3.75" customHeight="1">
      <c r="A48" s="89"/>
      <c r="B48" s="89"/>
      <c r="C48" s="89"/>
      <c r="D48" s="89"/>
      <c r="E48" s="89"/>
      <c r="F48" s="89"/>
      <c r="G48" s="89"/>
      <c r="H48" s="89"/>
      <c r="I48" s="89"/>
      <c r="J48" s="89"/>
      <c r="K48" s="142"/>
      <c r="L48" s="142"/>
    </row>
    <row r="49" ht="11.25" customHeight="1">
      <c r="A49" s="143" t="s">
        <v>323</v>
      </c>
      <c r="G49" s="144" t="s">
        <v>315</v>
      </c>
    </row>
    <row r="50" ht="3.75" customHeight="1">
      <c r="A50" s="89"/>
      <c r="B50" s="89"/>
      <c r="C50" s="89"/>
      <c r="D50" s="89"/>
      <c r="E50" s="89"/>
      <c r="F50" s="89"/>
      <c r="G50" s="89"/>
      <c r="H50" s="89"/>
      <c r="I50" s="89"/>
      <c r="J50" s="89"/>
      <c r="K50" s="142"/>
      <c r="L50" s="142"/>
    </row>
    <row r="51" ht="9.75" customHeight="1">
      <c r="A51" s="145" t="s">
        <v>327</v>
      </c>
      <c r="G51" s="146" t="s">
        <v>328</v>
      </c>
    </row>
    <row r="52" ht="3.75" customHeight="1">
      <c r="A52" s="89"/>
      <c r="B52" s="89"/>
      <c r="C52" s="89"/>
      <c r="D52" s="89"/>
      <c r="E52" s="89"/>
      <c r="F52" s="89"/>
      <c r="G52" s="89"/>
      <c r="H52" s="89"/>
      <c r="I52" s="89"/>
      <c r="J52" s="89"/>
      <c r="K52" s="142"/>
      <c r="L52" s="142"/>
    </row>
    <row r="53" ht="32.25" customHeight="1">
      <c r="A53" s="147" t="s">
        <v>331</v>
      </c>
      <c r="B53" s="102"/>
      <c r="C53" s="102"/>
      <c r="D53" s="102"/>
      <c r="E53" s="102"/>
      <c r="F53" s="102"/>
      <c r="G53" s="102"/>
      <c r="H53" s="102"/>
      <c r="I53" s="102"/>
      <c r="J53" s="102"/>
      <c r="K53" s="102"/>
      <c r="L53" s="102"/>
    </row>
    <row r="54" ht="9.75" customHeight="1">
      <c r="A54" s="89"/>
      <c r="B54" s="89"/>
      <c r="C54" s="89"/>
      <c r="D54" s="89"/>
      <c r="E54" s="89"/>
      <c r="F54" s="89"/>
      <c r="G54" s="89"/>
      <c r="H54" s="89"/>
      <c r="I54" s="89"/>
      <c r="J54" s="89"/>
      <c r="K54" s="89"/>
      <c r="L54" s="89"/>
    </row>
  </sheetData>
  <mergeCells count="46">
    <mergeCell ref="A1:G1"/>
    <mergeCell ref="A2:C2"/>
    <mergeCell ref="F2:G2"/>
    <mergeCell ref="A4:C4"/>
    <mergeCell ref="F4:G4"/>
    <mergeCell ref="A6:C6"/>
    <mergeCell ref="F6:G6"/>
    <mergeCell ref="A8:C8"/>
    <mergeCell ref="F8:G8"/>
    <mergeCell ref="C12:G12"/>
    <mergeCell ref="H12:I12"/>
    <mergeCell ref="B15:G15"/>
    <mergeCell ref="B16:G16"/>
    <mergeCell ref="B17:G17"/>
    <mergeCell ref="B18:G18"/>
    <mergeCell ref="B19:G19"/>
    <mergeCell ref="B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B35:G35"/>
    <mergeCell ref="B36:G36"/>
    <mergeCell ref="B37:G37"/>
    <mergeCell ref="K38:L38"/>
    <mergeCell ref="A49:F49"/>
    <mergeCell ref="A51:F51"/>
    <mergeCell ref="G51:L51"/>
    <mergeCell ref="A53:L53"/>
    <mergeCell ref="A38:I38"/>
    <mergeCell ref="A41:I45"/>
    <mergeCell ref="K43:L43"/>
    <mergeCell ref="K44:L44"/>
    <mergeCell ref="K45:L45"/>
    <mergeCell ref="A47:L47"/>
    <mergeCell ref="G49:L49"/>
  </mergeCells>
  <conditionalFormatting sqref="F8:G8">
    <cfRule type="containsBlanks" dxfId="3" priority="1">
      <formula>LEN(TRIM(F8))=0</formula>
    </cfRule>
  </conditionalFormatting>
  <conditionalFormatting sqref="F6:G6">
    <cfRule type="containsBlanks" dxfId="3" priority="2">
      <formula>LEN(TRIM(F6))=0</formula>
    </cfRule>
  </conditionalFormatting>
  <conditionalFormatting sqref="F4:G4">
    <cfRule type="containsBlanks" dxfId="3" priority="3">
      <formula>LEN(TRIM(F4))=0</formula>
    </cfRule>
  </conditionalFormatting>
  <conditionalFormatting sqref="F2:G2">
    <cfRule type="containsBlanks" dxfId="3" priority="4">
      <formula>LEN(TRIM(F2))=0</formula>
    </cfRule>
  </conditionalFormatting>
  <conditionalFormatting sqref="B1">
    <cfRule type="notContainsBlanks" dxfId="4" priority="5">
      <formula>LEN(TRIM(B1))&gt;0</formula>
    </cfRule>
  </conditionalFormatting>
  <conditionalFormatting sqref="B15:G37">
    <cfRule type="containsText" dxfId="6" priority="6" operator="containsText" text="%">
      <formula>NOT(ISERROR(SEARCH(("%"),(B15))))</formula>
    </cfRule>
  </conditionalFormatting>
  <printOptions/>
  <pageMargins bottom="0.0" footer="0.0" header="0.0" left="0.0" right="0.0" top="0.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pageSetUpPr/>
  </sheetPr>
  <sheetViews>
    <sheetView showGridLines="0" workbookViewId="0"/>
  </sheetViews>
  <sheetFormatPr customHeight="1" defaultColWidth="12.63" defaultRowHeight="15.0"/>
  <cols>
    <col customWidth="1" min="1" max="1" width="6.13"/>
    <col customWidth="1" min="2" max="2" width="3.38"/>
    <col customWidth="1" min="3" max="3" width="6.63"/>
    <col customWidth="1" min="4" max="5" width="0.88"/>
    <col customWidth="1" min="6" max="6" width="18.0"/>
    <col customWidth="1" min="7" max="7" width="32.0"/>
    <col customWidth="1" min="8" max="8" width="3.75"/>
    <col customWidth="1" min="9" max="9" width="6.0"/>
    <col customWidth="1" min="10" max="10" width="1.0"/>
    <col customWidth="1" min="11" max="11" width="7.13"/>
    <col customWidth="1" min="12" max="12" width="12.38"/>
  </cols>
  <sheetData>
    <row r="1" ht="19.5" customHeight="1">
      <c r="A1" s="88" t="s">
        <v>155</v>
      </c>
      <c r="H1" s="89"/>
      <c r="I1" s="89"/>
      <c r="J1" s="89"/>
      <c r="K1" s="89"/>
      <c r="L1" s="89"/>
    </row>
    <row r="2" ht="12.0" customHeight="1">
      <c r="A2" s="90" t="s">
        <v>157</v>
      </c>
      <c r="D2" s="91"/>
      <c r="E2" s="92"/>
      <c r="F2" s="93" t="str">
        <f>IFERROR(UPPER(CONCATENATE(LEFT(F6,2),MID(F6,SEARCH(" ",F6)+1,1),"-",TEXT(F4,"DD"),TEXT(F4,"MM"))), "")</f>
        <v>PEM-1402</v>
      </c>
      <c r="H2" s="89"/>
      <c r="I2" s="89"/>
      <c r="J2" s="89"/>
      <c r="K2" s="89"/>
      <c r="L2" s="89"/>
    </row>
    <row r="3" ht="6.0" customHeight="1">
      <c r="A3" s="94"/>
      <c r="B3" s="94"/>
      <c r="C3" s="94"/>
      <c r="D3" s="95"/>
      <c r="E3" s="89"/>
      <c r="F3" s="94"/>
      <c r="G3" s="94"/>
      <c r="H3" s="94"/>
      <c r="I3" s="89"/>
      <c r="J3" s="89"/>
      <c r="K3" s="89"/>
      <c r="L3" s="89"/>
    </row>
    <row r="4" ht="12.0" customHeight="1">
      <c r="A4" s="96" t="s">
        <v>164</v>
      </c>
      <c r="D4" s="91"/>
      <c r="E4" s="92"/>
      <c r="F4" s="97">
        <f>Carga!B2</f>
        <v>46067</v>
      </c>
      <c r="H4" s="89"/>
      <c r="I4" s="89"/>
      <c r="J4" s="89"/>
      <c r="K4" s="89"/>
      <c r="L4" s="89"/>
    </row>
    <row r="5" ht="6.0" customHeight="1">
      <c r="A5" s="94"/>
      <c r="B5" s="94"/>
      <c r="C5" s="94"/>
      <c r="D5" s="95"/>
      <c r="E5" s="89"/>
      <c r="F5" s="94"/>
      <c r="G5" s="94"/>
      <c r="H5" s="89"/>
      <c r="I5" s="89"/>
      <c r="J5" s="89"/>
      <c r="K5" s="89"/>
      <c r="L5" s="89"/>
    </row>
    <row r="6" ht="12.0" customHeight="1">
      <c r="A6" s="96" t="s">
        <v>169</v>
      </c>
      <c r="D6" s="91"/>
      <c r="E6" s="92"/>
      <c r="F6" s="98" t="str">
        <f>Carga!B3</f>
        <v>Pepito monje</v>
      </c>
      <c r="H6" s="89"/>
      <c r="I6" s="89"/>
      <c r="J6" s="89"/>
      <c r="K6" s="89"/>
      <c r="L6" s="89"/>
    </row>
    <row r="7" ht="5.25" customHeight="1">
      <c r="A7" s="94"/>
      <c r="B7" s="94"/>
      <c r="C7" s="94"/>
      <c r="D7" s="95"/>
      <c r="E7" s="89"/>
      <c r="F7" s="94"/>
      <c r="G7" s="94"/>
      <c r="H7" s="89"/>
      <c r="I7" s="89"/>
      <c r="J7" s="89"/>
      <c r="K7" s="89"/>
      <c r="L7" s="89"/>
    </row>
    <row r="8" ht="12.0" customHeight="1">
      <c r="A8" s="96" t="s">
        <v>172</v>
      </c>
      <c r="D8" s="91"/>
      <c r="E8" s="92"/>
      <c r="F8" s="98" t="str">
        <f>Carga!B4</f>
        <v>Guntanamera 1020</v>
      </c>
      <c r="H8" s="89"/>
      <c r="I8" s="89"/>
      <c r="J8" s="89"/>
      <c r="K8" s="89"/>
      <c r="L8" s="89"/>
    </row>
    <row r="9" ht="9.75" customHeight="1">
      <c r="A9" s="89"/>
      <c r="B9" s="89"/>
      <c r="C9" s="89"/>
      <c r="D9" s="89"/>
      <c r="E9" s="89"/>
      <c r="F9" s="89"/>
      <c r="G9" s="89"/>
      <c r="H9" s="89"/>
      <c r="I9" s="89"/>
      <c r="J9" s="89"/>
      <c r="K9" s="89"/>
      <c r="L9" s="89"/>
    </row>
    <row r="10" ht="9.75" customHeight="1">
      <c r="A10" s="89"/>
      <c r="B10" s="89"/>
      <c r="C10" s="89"/>
      <c r="D10" s="89"/>
      <c r="E10" s="89"/>
      <c r="F10" s="89"/>
      <c r="G10" s="89"/>
      <c r="H10" s="89"/>
      <c r="I10" s="89"/>
      <c r="J10" s="89"/>
      <c r="K10" s="89"/>
      <c r="L10" s="89"/>
    </row>
    <row r="11" ht="8.25" customHeight="1">
      <c r="A11" s="89"/>
      <c r="B11" s="89"/>
      <c r="C11" s="89"/>
      <c r="D11" s="89"/>
      <c r="E11" s="89"/>
      <c r="F11" s="89"/>
      <c r="G11" s="89"/>
      <c r="H11" s="89"/>
      <c r="I11" s="89"/>
      <c r="J11" s="89"/>
      <c r="K11" s="89"/>
      <c r="L11" s="89"/>
    </row>
    <row r="12" ht="24.0" customHeight="1">
      <c r="A12" s="99" t="s">
        <v>34</v>
      </c>
      <c r="B12" s="100"/>
      <c r="C12" s="101" t="s">
        <v>18</v>
      </c>
      <c r="D12" s="102"/>
      <c r="E12" s="102"/>
      <c r="F12" s="102"/>
      <c r="G12" s="102"/>
      <c r="H12" s="103" t="s">
        <v>1</v>
      </c>
      <c r="I12" s="102"/>
      <c r="J12" s="104"/>
      <c r="K12" s="105" t="s">
        <v>20</v>
      </c>
      <c r="L12" s="105" t="s">
        <v>180</v>
      </c>
    </row>
    <row r="13" ht="9.0" customHeight="1">
      <c r="A13" s="106"/>
      <c r="B13" s="106"/>
      <c r="C13" s="107"/>
      <c r="D13" s="107"/>
      <c r="E13" s="107"/>
      <c r="F13" s="107"/>
      <c r="G13" s="107"/>
      <c r="H13" s="108"/>
      <c r="I13" s="108"/>
      <c r="J13" s="108"/>
      <c r="K13" s="109"/>
      <c r="L13" s="109"/>
    </row>
    <row r="14" ht="12.75" customHeight="1">
      <c r="A14" s="110"/>
      <c r="B14" s="110"/>
      <c r="C14" s="110"/>
      <c r="D14" s="110"/>
      <c r="E14" s="110"/>
      <c r="F14" s="110"/>
      <c r="G14" s="110"/>
      <c r="H14" s="110"/>
      <c r="I14" s="110"/>
      <c r="J14" s="110"/>
      <c r="K14" s="110"/>
      <c r="L14" s="110"/>
    </row>
    <row r="15" ht="20.25" customHeight="1">
      <c r="A15" s="111" t="str">
        <f>IFERROR(VLOOKUP(B15,Precios!D:H,5,0), "")</f>
        <v/>
      </c>
      <c r="B15" s="117">
        <f>Copia_de_Carga!B8</f>
        <v>46072</v>
      </c>
      <c r="H15" s="113" t="str">
        <f>Copia_de_Carga!F8</f>
        <v>Villagrono Alfredus</v>
      </c>
      <c r="I15" s="114" t="str">
        <f>IFERROR(VLOOKUP(Carga!B8,Precios!D:G,4,0), "")</f>
        <v/>
      </c>
      <c r="J15" s="114"/>
      <c r="K15" s="115" t="str">
        <f>IFERROR(VLOOKUP(Copia_de_Carga!B8,Precios!D:E,2,0), "")</f>
        <v/>
      </c>
      <c r="L15" s="115" t="str">
        <f>Copia_de_Carga!M8</f>
        <v>#VALUE!</v>
      </c>
    </row>
    <row r="16" ht="20.25" customHeight="1">
      <c r="A16" s="111" t="str">
        <f>IFERROR(VLOOKUP(B16,Precios!D:H,5,0), "")</f>
        <v>07-05</v>
      </c>
      <c r="B16" s="112" t="str">
        <f>Copia_de_Carga!B9</f>
        <v>Instalación a altura h&lt;4mts con perfil C P/ BPC 100 a 300</v>
      </c>
      <c r="H16" s="113">
        <f>Copia_de_Carga!F9</f>
        <v>1</v>
      </c>
      <c r="I16" s="114" t="str">
        <f>IFERROR(VLOOKUP(Carga!B9,Precios!D:G,4,0), "")</f>
        <v/>
      </c>
      <c r="J16" s="114"/>
      <c r="K16" s="115">
        <f>IFERROR(VLOOKUP(Copia_de_Carga!B9,Precios!D:E,2,0), "")</f>
        <v>51700</v>
      </c>
      <c r="L16" s="115" t="str">
        <f>Copia_de_Carga!M9</f>
        <v>#VALUE!</v>
      </c>
    </row>
    <row r="17" ht="20.25" customHeight="1">
      <c r="A17" s="111" t="str">
        <f>IFERROR(VLOOKUP(B17,Precios!D:H,5,0), "")</f>
        <v>07-05</v>
      </c>
      <c r="B17" s="112" t="str">
        <f>Copia_de_Carga!B10</f>
        <v>Instalación a altura h&lt;4mts con perfil C P/ BPC 100 a 300</v>
      </c>
      <c r="H17" s="113">
        <f>Copia_de_Carga!F10</f>
        <v>1</v>
      </c>
      <c r="I17" s="114" t="str">
        <f>IFERROR(VLOOKUP(Carga!B10,Precios!D:G,4,0), "")</f>
        <v>bocas</v>
      </c>
      <c r="J17" s="114"/>
      <c r="K17" s="115">
        <f>IFERROR(VLOOKUP(Copia_de_Carga!B10,Precios!D:E,2,0), "")</f>
        <v>51700</v>
      </c>
      <c r="L17" s="115" t="str">
        <f>Copia_de_Carga!M10</f>
        <v>#VALUE!</v>
      </c>
    </row>
    <row r="18" ht="20.25" customHeight="1">
      <c r="A18" s="111" t="str">
        <f>IFERROR(VLOOKUP(B18,Precios!D:H,5,0), "")</f>
        <v>07-05</v>
      </c>
      <c r="B18" s="112" t="str">
        <f>Copia_de_Carga!B11</f>
        <v>Instalación a altura h&lt;4mts con perfil C P/ BPC 100 a 300</v>
      </c>
      <c r="H18" s="113">
        <f>Copia_de_Carga!F11</f>
        <v>1</v>
      </c>
      <c r="I18" s="114" t="str">
        <f>IFERROR(VLOOKUP(Carga!B11,Precios!D:G,4,0), "")</f>
        <v/>
      </c>
      <c r="J18" s="114"/>
      <c r="K18" s="115">
        <f>IFERROR(VLOOKUP(Copia_de_Carga!B11,Precios!D:E,2,0), "")</f>
        <v>51700</v>
      </c>
      <c r="L18" s="115" t="str">
        <f>Copia_de_Carga!M11</f>
        <v>#VALUE!</v>
      </c>
    </row>
    <row r="19" ht="20.25" customHeight="1">
      <c r="A19" s="111" t="str">
        <f>IFERROR(VLOOKUP(B19,Precios!D:H,5,0), "")</f>
        <v>07-05</v>
      </c>
      <c r="B19" s="112" t="str">
        <f>Copia_de_Carga!B12</f>
        <v>Instalación a altura h&lt;4mts con perfil C P/ BPC 100 a 300</v>
      </c>
      <c r="H19" s="113">
        <f>Copia_de_Carga!F12</f>
        <v>1</v>
      </c>
      <c r="I19" s="114" t="str">
        <f>IFERROR(VLOOKUP(Carga!B12,Precios!D:G,4,0), "")</f>
        <v/>
      </c>
      <c r="J19" s="114"/>
      <c r="K19" s="115">
        <f>IFERROR(VLOOKUP(Copia_de_Carga!B12,Precios!D:E,2,0), "")</f>
        <v>51700</v>
      </c>
      <c r="L19" s="115" t="str">
        <f>Copia_de_Carga!M12</f>
        <v>#VALUE!</v>
      </c>
    </row>
    <row r="20" ht="20.25" customHeight="1">
      <c r="A20" s="111" t="str">
        <f>IFERROR(VLOOKUP(B20,Precios!D:H,5,0), "")</f>
        <v>07-05</v>
      </c>
      <c r="B20" s="112" t="str">
        <f>Copia_de_Carga!B13</f>
        <v>Instalación a altura h&lt;4mts con perfil C P/ BPC 100 a 300</v>
      </c>
      <c r="H20" s="113">
        <f>Copia_de_Carga!F13</f>
        <v>1</v>
      </c>
      <c r="I20" s="114" t="str">
        <f>IFERROR(VLOOKUP(Carga!B13,Precios!D:G,4,0), "")</f>
        <v/>
      </c>
      <c r="J20" s="114"/>
      <c r="K20" s="115">
        <f>IFERROR(VLOOKUP(Copia_de_Carga!B13,Precios!D:E,2,0), "")</f>
        <v>51700</v>
      </c>
      <c r="L20" s="115" t="str">
        <f>Copia_de_Carga!M13</f>
        <v>#VALUE!</v>
      </c>
    </row>
    <row r="21" ht="20.25" customHeight="1">
      <c r="A21" s="111" t="str">
        <f>IFERROR(VLOOKUP(B21,Precios!D:H,5,0), "")</f>
        <v>07-05</v>
      </c>
      <c r="B21" s="112" t="str">
        <f>Copia_de_Carga!B14</f>
        <v>Instalación a altura h&lt;4mts con perfil C P/ BPC 100 a 300</v>
      </c>
      <c r="H21" s="113">
        <f>Copia_de_Carga!F14</f>
        <v>1</v>
      </c>
      <c r="I21" s="114" t="str">
        <f>IFERROR(VLOOKUP(Carga!B14,Precios!D:G,4,0), "")</f>
        <v/>
      </c>
      <c r="J21" s="114"/>
      <c r="K21" s="115">
        <f>IFERROR(VLOOKUP(Copia_de_Carga!B14,Precios!D:E,2,0), "")</f>
        <v>51700</v>
      </c>
      <c r="L21" s="115" t="str">
        <f>Copia_de_Carga!M14</f>
        <v>#VALUE!</v>
      </c>
    </row>
    <row r="22" ht="20.25" customHeight="1">
      <c r="A22" s="111" t="str">
        <f>IFERROR(VLOOKUP(B22,Precios!D:H,5,0), "")</f>
        <v/>
      </c>
      <c r="B22" s="112" t="str">
        <f>Copia_de_Carga!B15</f>
        <v>Certificacion de vivienda o local comercial (hasta 20bocas) no incluye adecuacion de la instalacion</v>
      </c>
      <c r="H22" s="113">
        <f>Copia_de_Carga!F15</f>
        <v>-2</v>
      </c>
      <c r="I22" s="114" t="str">
        <f>IFERROR(VLOOKUP(Carga!B15,Precios!D:G,4,0), "")</f>
        <v/>
      </c>
      <c r="J22" s="114"/>
      <c r="K22" s="115" t="str">
        <f>IFERROR(VLOOKUP(Copia_de_Carga!B15,Precios!D:E,2,0), "")</f>
        <v/>
      </c>
      <c r="L22" s="115" t="str">
        <f>Copia_de_Carga!M15</f>
        <v>#VALUE!</v>
      </c>
    </row>
    <row r="23" ht="20.25" customHeight="1">
      <c r="A23" s="111" t="str">
        <f>IFERROR(VLOOKUP(B23,Precios!D:H,5,0), "")</f>
        <v/>
      </c>
      <c r="B23" s="112" t="str">
        <f>Copia_de_Carga!B16</f>
        <v>Certificacion de vivienda o local comercial (hasta 20bocas) no incluye adecuacion de la instalacion</v>
      </c>
      <c r="H23" s="113">
        <f>Copia_de_Carga!F16</f>
        <v>-2</v>
      </c>
      <c r="I23" s="114" t="str">
        <f>IFERROR(VLOOKUP(Carga!B16,Precios!D:G,4,0), "")</f>
        <v/>
      </c>
      <c r="J23" s="114"/>
      <c r="K23" s="115" t="str">
        <f>IFERROR(VLOOKUP(Copia_de_Carga!B16,Precios!D:E,2,0), "")</f>
        <v/>
      </c>
      <c r="L23" s="115" t="str">
        <f>Copia_de_Carga!M16</f>
        <v>#VALUE!</v>
      </c>
    </row>
    <row r="24" ht="20.25" customHeight="1">
      <c r="A24" s="111" t="str">
        <f>IFERROR(VLOOKUP(B24,Precios!D:H,5,0), "")</f>
        <v/>
      </c>
      <c r="B24" s="112" t="str">
        <f>Copia_de_Carga!B17</f>
        <v>Certificacion de vivienda o local comercial (hasta 20bocas) no incluye adecuacion de la instalacion</v>
      </c>
      <c r="H24" s="113">
        <f>Copia_de_Carga!F17</f>
        <v>-2</v>
      </c>
      <c r="I24" s="114" t="str">
        <f>IFERROR(VLOOKUP(Carga!B17,Precios!D:G,4,0), "")</f>
        <v/>
      </c>
      <c r="J24" s="114"/>
      <c r="K24" s="115" t="str">
        <f>IFERROR(VLOOKUP(Copia_de_Carga!B17,Precios!D:E,2,0), "")</f>
        <v/>
      </c>
      <c r="L24" s="115" t="str">
        <f>Copia_de_Carga!M17</f>
        <v>#VALUE!</v>
      </c>
    </row>
    <row r="25" ht="20.25" customHeight="1">
      <c r="A25" s="111" t="str">
        <f>IFERROR(VLOOKUP(B25,Precios!D:H,5,0), "")</f>
        <v/>
      </c>
      <c r="B25" s="112" t="str">
        <f>Copia_de_Carga!B18</f>
        <v>Certificacion de vivienda o local comercial (hasta 20bocas) no incluye adecuacion de la instalacion</v>
      </c>
      <c r="H25" s="113">
        <f>Copia_de_Carga!F18</f>
        <v>-2</v>
      </c>
      <c r="I25" s="114" t="str">
        <f>IFERROR(VLOOKUP(Carga!B18,Precios!D:G,4,0), "")</f>
        <v/>
      </c>
      <c r="J25" s="114"/>
      <c r="K25" s="115" t="str">
        <f>IFERROR(VLOOKUP(Copia_de_Carga!B18,Precios!D:E,2,0), "")</f>
        <v/>
      </c>
      <c r="L25" s="115" t="str">
        <f>Copia_de_Carga!M18</f>
        <v>#VALUE!</v>
      </c>
    </row>
    <row r="26" ht="20.25" customHeight="1">
      <c r="A26" s="111" t="str">
        <f>IFERROR(VLOOKUP(B26,Precios!D:H,5,0), "")</f>
        <v/>
      </c>
      <c r="B26" s="112" t="str">
        <f>Copia_de_Carga!B19</f>
        <v>Certificacion de vivienda o local comercial (hasta 20bocas) no incluye adecuacion de la instalacion</v>
      </c>
      <c r="H26" s="113">
        <f>Copia_de_Carga!F19</f>
        <v>-2</v>
      </c>
      <c r="I26" s="114" t="str">
        <f>IFERROR(VLOOKUP(Carga!B19,Precios!D:G,4,0), "")</f>
        <v/>
      </c>
      <c r="J26" s="114"/>
      <c r="K26" s="115" t="str">
        <f>IFERROR(VLOOKUP(Copia_de_Carga!B19,Precios!D:E,2,0), "")</f>
        <v/>
      </c>
      <c r="L26" s="115" t="str">
        <f>Copia_de_Carga!M19</f>
        <v>#VALUE!</v>
      </c>
    </row>
    <row r="27" ht="20.25" customHeight="1">
      <c r="A27" s="111" t="str">
        <f>IFERROR(VLOOKUP(B27,Precios!D:H,5,0), "")</f>
        <v/>
      </c>
      <c r="B27" s="112" t="str">
        <f>Copia_de_Carga!B20</f>
        <v>Certificacion de vivienda o local comercial (hasta 20bocas) no incluye adecuacion de la instalacion</v>
      </c>
      <c r="H27" s="113">
        <f>Copia_de_Carga!F20</f>
        <v>-2</v>
      </c>
      <c r="I27" s="114" t="str">
        <f>IFERROR(VLOOKUP(Carga!B20,Precios!D:G,4,0), "")</f>
        <v/>
      </c>
      <c r="J27" s="114"/>
      <c r="K27" s="115" t="str">
        <f>IFERROR(VLOOKUP(Copia_de_Carga!B20,Precios!D:E,2,0), "")</f>
        <v/>
      </c>
      <c r="L27" s="115" t="str">
        <f>Copia_de_Carga!M20</f>
        <v>#VALUE!</v>
      </c>
    </row>
    <row r="28" ht="20.25" customHeight="1">
      <c r="A28" s="111" t="str">
        <f>IFERROR(VLOOKUP(B28,Precios!D:H,5,0), "")</f>
        <v/>
      </c>
      <c r="B28" s="112" t="str">
        <f>Copia_de_Carga!B21</f>
        <v>Certificacion de vivienda o local comercial (hasta 20bocas) no incluye adecuacion de la instalacion</v>
      </c>
      <c r="H28" s="113">
        <f>Copia_de_Carga!F21</f>
        <v>-2</v>
      </c>
      <c r="I28" s="114" t="str">
        <f>IFERROR(VLOOKUP(Carga!B21,Precios!D:G,4,0), "")</f>
        <v/>
      </c>
      <c r="J28" s="114"/>
      <c r="K28" s="115" t="str">
        <f>IFERROR(VLOOKUP(Copia_de_Carga!B21,Precios!D:E,2,0), "")</f>
        <v/>
      </c>
      <c r="L28" s="115" t="str">
        <f>Copia_de_Carga!M21</f>
        <v>#VALUE!</v>
      </c>
    </row>
    <row r="29" ht="20.25" customHeight="1">
      <c r="A29" s="111" t="str">
        <f>IFERROR(VLOOKUP(B29,Precios!D:H,5,0), "")</f>
        <v/>
      </c>
      <c r="B29" s="112" t="str">
        <f>Copia_de_Carga!B22</f>
        <v>Certificacion de vivienda o local comercial (hasta 20bocas) no incluye adecuacion de la instalacion</v>
      </c>
      <c r="H29" s="113">
        <f>Copia_de_Carga!F22</f>
        <v>-2</v>
      </c>
      <c r="I29" s="114" t="str">
        <f>IFERROR(VLOOKUP(Carga!B22,Precios!D:G,4,0), "")</f>
        <v/>
      </c>
      <c r="J29" s="114"/>
      <c r="K29" s="115" t="str">
        <f>IFERROR(VLOOKUP(Copia_de_Carga!B22,Precios!D:E,2,0), "")</f>
        <v/>
      </c>
      <c r="L29" s="115" t="str">
        <f>Copia_de_Carga!M22</f>
        <v>#VALUE!</v>
      </c>
    </row>
    <row r="30" ht="20.25" customHeight="1">
      <c r="A30" s="111" t="str">
        <f>IFERROR(VLOOKUP(B30,Precios!D:H,5,0), "")</f>
        <v/>
      </c>
      <c r="B30" s="112" t="str">
        <f>Copia_de_Carga!B23</f>
        <v>Certificacion de vivienda o local comercial (hasta 20bocas) no incluye adecuacion de la instalacion</v>
      </c>
      <c r="H30" s="113">
        <f>Copia_de_Carga!F23</f>
        <v>-2</v>
      </c>
      <c r="I30" s="114" t="str">
        <f>IFERROR(VLOOKUP(Carga!B23,Precios!D:G,4,0), "")</f>
        <v/>
      </c>
      <c r="J30" s="114"/>
      <c r="K30" s="115" t="str">
        <f>IFERROR(VLOOKUP(Copia_de_Carga!B23,Precios!D:E,2,0), "")</f>
        <v/>
      </c>
      <c r="L30" s="115" t="str">
        <f>Copia_de_Carga!M23</f>
        <v>#VALUE!</v>
      </c>
    </row>
    <row r="31" ht="20.25" customHeight="1">
      <c r="A31" s="111" t="str">
        <f>IFERROR(VLOOKUP(B31,Precios!D:H,5,0), "")</f>
        <v/>
      </c>
      <c r="B31" s="112" t="str">
        <f>Copia_de_Carga!B24</f>
        <v>Certificacion de vivienda o local comercial (hasta 20bocas) no incluye adecuacion de la instalacion</v>
      </c>
      <c r="H31" s="113">
        <f>Copia_de_Carga!F24</f>
        <v>-2</v>
      </c>
      <c r="I31" s="114" t="str">
        <f>IFERROR(VLOOKUP(Carga!B24,Precios!D:G,4,0), "")</f>
        <v/>
      </c>
      <c r="J31" s="114"/>
      <c r="K31" s="115" t="str">
        <f>IFERROR(VLOOKUP(Copia_de_Carga!B24,Precios!D:E,2,0), "")</f>
        <v/>
      </c>
      <c r="L31" s="115" t="str">
        <f>Copia_de_Carga!M24</f>
        <v>#VALUE!</v>
      </c>
    </row>
    <row r="32" ht="20.25" customHeight="1">
      <c r="A32" s="111" t="str">
        <f>IFERROR(VLOOKUP(B32,Precios!D:H,5,0), "")</f>
        <v/>
      </c>
      <c r="B32" s="112" t="str">
        <f>Copia_de_Carga!B25</f>
        <v>Certificacion de vivienda o local comercial (hasta 20bocas) no incluye adecuacion de la instalacion</v>
      </c>
      <c r="H32" s="113">
        <f>Copia_de_Carga!F25</f>
        <v>-2</v>
      </c>
      <c r="I32" s="114" t="str">
        <f>IFERROR(VLOOKUP(Carga!B25,Precios!D:G,4,0), "")</f>
        <v/>
      </c>
      <c r="J32" s="114"/>
      <c r="K32" s="115" t="str">
        <f>IFERROR(VLOOKUP(Copia_de_Carga!B25,Precios!D:E,2,0), "")</f>
        <v/>
      </c>
      <c r="L32" s="115" t="str">
        <f>Copia_de_Carga!M25</f>
        <v>#VALUE!</v>
      </c>
    </row>
    <row r="33" ht="20.25" customHeight="1">
      <c r="A33" s="111" t="str">
        <f>IFERROR(VLOOKUP(B33,Precios!D:H,5,0), "")</f>
        <v/>
      </c>
      <c r="B33" s="112" t="str">
        <f>Copia_de_Carga!B26</f>
        <v>Certificacion de vivienda o local comercial (hasta 20bocas) no incluye adecuacion de la instalacion</v>
      </c>
      <c r="H33" s="113">
        <f>Copia_de_Carga!F26</f>
        <v>-2</v>
      </c>
      <c r="I33" s="114" t="str">
        <f>IFERROR(VLOOKUP(Carga!B26,Precios!D:G,4,0), "")</f>
        <v/>
      </c>
      <c r="J33" s="114"/>
      <c r="K33" s="115" t="str">
        <f>IFERROR(VLOOKUP(Copia_de_Carga!B26,Precios!D:E,2,0), "")</f>
        <v/>
      </c>
      <c r="L33" s="115" t="str">
        <f>Copia_de_Carga!M26</f>
        <v>#VALUE!</v>
      </c>
    </row>
    <row r="34" ht="20.25" customHeight="1">
      <c r="A34" s="111" t="str">
        <f>IFERROR(VLOOKUP(B34,Precios!D:H,5,0), "")</f>
        <v/>
      </c>
      <c r="B34" s="112" t="str">
        <f>Copia_de_Carga!B27</f>
        <v>Certificacion de vivienda o local comercial (hasta 20bocas) no incluye adecuacion de la instalacion</v>
      </c>
      <c r="H34" s="113">
        <f>Copia_de_Carga!F27</f>
        <v>-2</v>
      </c>
      <c r="I34" s="114" t="str">
        <f>IFERROR(VLOOKUP(Carga!B27,Precios!D:G,4,0), "")</f>
        <v/>
      </c>
      <c r="J34" s="114"/>
      <c r="K34" s="115" t="str">
        <f>IFERROR(VLOOKUP(Copia_de_Carga!B27,Precios!D:E,2,0), "")</f>
        <v/>
      </c>
      <c r="L34" s="115" t="str">
        <f>Copia_de_Carga!M27</f>
        <v>#VALUE!</v>
      </c>
    </row>
    <row r="35" ht="20.25" customHeight="1">
      <c r="A35" s="111" t="str">
        <f>IFERROR(VLOOKUP(B35,Precios!D:H,5,0), "")</f>
        <v/>
      </c>
      <c r="B35" s="112" t="str">
        <f>Copia_de_Carga!B28</f>
        <v>Certificacion de vivienda o local comercial (hasta 20bocas) no incluye adecuacion de la instalacion</v>
      </c>
      <c r="H35" s="113">
        <f>Copia_de_Carga!F28</f>
        <v>-2</v>
      </c>
      <c r="I35" s="114" t="str">
        <f>IFERROR(VLOOKUP(Carga!B28,Precios!D:G,4,0), "")</f>
        <v/>
      </c>
      <c r="J35" s="114"/>
      <c r="K35" s="115" t="str">
        <f>IFERROR(VLOOKUP(Copia_de_Carga!B28,Precios!D:E,2,0), "")</f>
        <v/>
      </c>
      <c r="L35" s="115" t="str">
        <f>Copia_de_Carga!M28</f>
        <v>#VALUE!</v>
      </c>
    </row>
    <row r="36" ht="20.25" customHeight="1">
      <c r="A36" s="111" t="str">
        <f>IFERROR(VLOOKUP(B36,Precios!D:H,5,0), "")</f>
        <v/>
      </c>
      <c r="B36" s="112" t="str">
        <f>Copia_de_Carga!B29</f>
        <v>Certificacion de vivienda o local comercial (hasta 20bocas) no incluye adecuacion de la instalacion</v>
      </c>
      <c r="H36" s="113">
        <f>Copia_de_Carga!F29</f>
        <v>-2</v>
      </c>
      <c r="I36" s="129" t="str">
        <f>IFERROR(VLOOKUP(Carga!B29,Precios!D:G,4,0), "")</f>
        <v>unid.</v>
      </c>
      <c r="J36" s="114"/>
      <c r="K36" s="115" t="str">
        <f>IFERROR(VLOOKUP(Copia_de_Carga!B29,Precios!D:E,2,0), "")</f>
        <v/>
      </c>
      <c r="L36" s="115" t="str">
        <f>Copia_de_Carga!M29</f>
        <v>#VALUE!</v>
      </c>
    </row>
    <row r="37" ht="20.25" customHeight="1">
      <c r="A37" s="111" t="str">
        <f>IFERROR(VLOOKUP(B37,Precios!D:H,5,0), "")</f>
        <v/>
      </c>
      <c r="B37" s="112" t="str">
        <f>Copia_de_Carga!B30</f>
        <v>Certificacion de vivienda o local comercial (hasta 20bocas) no incluye adecuacion de la instalacion</v>
      </c>
      <c r="H37" s="113">
        <f>Copia_de_Carga!F30</f>
        <v>-2</v>
      </c>
      <c r="I37" s="114" t="str">
        <f>IFERROR(VLOOKUP(Carga!B30,Precios!D:G,4,0), "")</f>
        <v>unid.</v>
      </c>
      <c r="J37" s="114"/>
      <c r="K37" s="115" t="str">
        <f>IFERROR(VLOOKUP(Copia_de_Carga!B30,Precios!D:E,2,0), "")</f>
        <v/>
      </c>
      <c r="L37" s="115" t="str">
        <f>Copia_de_Carga!M30</f>
        <v>#VALUE!</v>
      </c>
    </row>
    <row r="38" ht="9.75" customHeight="1">
      <c r="A38" s="103" t="s">
        <v>304</v>
      </c>
      <c r="B38" s="102"/>
      <c r="C38" s="102"/>
      <c r="D38" s="102"/>
      <c r="E38" s="102"/>
      <c r="F38" s="102"/>
      <c r="G38" s="102"/>
      <c r="H38" s="102"/>
      <c r="I38" s="102"/>
      <c r="J38" s="130"/>
      <c r="K38" s="131"/>
      <c r="L38" s="102"/>
    </row>
    <row r="39" ht="5.25" customHeight="1">
      <c r="A39" s="89"/>
      <c r="B39" s="89"/>
      <c r="C39" s="89"/>
      <c r="D39" s="89"/>
      <c r="E39" s="89"/>
      <c r="F39" s="89"/>
      <c r="G39" s="89"/>
      <c r="H39" s="89"/>
      <c r="I39" s="89"/>
      <c r="J39" s="89"/>
      <c r="K39" s="89"/>
      <c r="L39" s="89"/>
    </row>
    <row r="40" ht="3.75" customHeight="1">
      <c r="A40" s="132"/>
      <c r="B40" s="132"/>
      <c r="C40" s="132"/>
      <c r="D40" s="132"/>
      <c r="E40" s="132"/>
      <c r="F40" s="132"/>
      <c r="G40" s="132"/>
      <c r="H40" s="132"/>
      <c r="I40" s="132"/>
      <c r="J40" s="89"/>
      <c r="K40" s="133" t="str">
        <f>SUM(L15:L37)</f>
        <v>#VALUE!</v>
      </c>
      <c r="L40" s="134"/>
    </row>
    <row r="41" ht="15.0" customHeight="1">
      <c r="A41" s="135" t="str">
        <f>IF(Nota!E24=0, "",Nota!E24)</f>
        <v> /    /    / 08-03  Solo cableado, independientemente de la catidad de conductores. /    /    /    /    /    /    /    /    /    /    /    /    /    /    /    /    /    /    / 01-02  Acometidas de acuerdo a los planos típicos según ET21 de EPEC. S/Materiales, S/Certificación, no incluye trabajos de albañilería / 01-04  Sin nota</v>
      </c>
      <c r="J41" s="89"/>
      <c r="K41" s="136" t="s">
        <v>312</v>
      </c>
      <c r="L41" s="137">
        <f>Carga!M34</f>
        <v>345500</v>
      </c>
    </row>
    <row r="42" ht="15.0" customHeight="1">
      <c r="J42" s="89"/>
      <c r="K42" s="138" t="s">
        <v>315</v>
      </c>
      <c r="L42" s="137">
        <f>Carga!M35</f>
        <v>-155475</v>
      </c>
    </row>
    <row r="43" ht="5.25" customHeight="1">
      <c r="J43" s="89"/>
      <c r="K43" s="139"/>
    </row>
    <row r="44" ht="17.25" customHeight="1">
      <c r="J44" s="89"/>
      <c r="K44" s="140" t="s">
        <v>5</v>
      </c>
    </row>
    <row r="45" ht="37.5" customHeight="1">
      <c r="J45" s="89"/>
      <c r="K45" s="141">
        <f>Carga!M37</f>
        <v>190025</v>
      </c>
    </row>
    <row r="46" ht="3.75" customHeight="1">
      <c r="A46" s="132"/>
      <c r="B46" s="132"/>
      <c r="C46" s="132"/>
      <c r="D46" s="132"/>
      <c r="E46" s="132"/>
      <c r="F46" s="132"/>
      <c r="G46" s="132"/>
      <c r="H46" s="132"/>
      <c r="I46" s="132"/>
      <c r="J46" s="89"/>
      <c r="K46" s="89"/>
      <c r="L46" s="89"/>
    </row>
    <row r="47" ht="9.75" customHeight="1">
      <c r="A47" s="103" t="s">
        <v>320</v>
      </c>
      <c r="B47" s="102"/>
      <c r="C47" s="102"/>
      <c r="D47" s="102"/>
      <c r="E47" s="102"/>
      <c r="F47" s="102"/>
      <c r="G47" s="102"/>
      <c r="H47" s="102"/>
      <c r="I47" s="102"/>
      <c r="J47" s="102"/>
      <c r="K47" s="102"/>
      <c r="L47" s="102"/>
    </row>
    <row r="48" ht="3.75" customHeight="1">
      <c r="A48" s="89"/>
      <c r="B48" s="89"/>
      <c r="C48" s="89"/>
      <c r="D48" s="89"/>
      <c r="E48" s="89"/>
      <c r="F48" s="89"/>
      <c r="G48" s="89"/>
      <c r="H48" s="89"/>
      <c r="I48" s="89"/>
      <c r="J48" s="89"/>
      <c r="K48" s="142"/>
      <c r="L48" s="142"/>
    </row>
    <row r="49" ht="11.25" customHeight="1">
      <c r="A49" s="143" t="s">
        <v>323</v>
      </c>
      <c r="G49" s="144" t="s">
        <v>315</v>
      </c>
    </row>
    <row r="50" ht="3.75" customHeight="1">
      <c r="A50" s="89"/>
      <c r="B50" s="89"/>
      <c r="C50" s="89"/>
      <c r="D50" s="89"/>
      <c r="E50" s="89"/>
      <c r="F50" s="89"/>
      <c r="G50" s="89"/>
      <c r="H50" s="89"/>
      <c r="I50" s="89"/>
      <c r="J50" s="89"/>
      <c r="K50" s="142"/>
      <c r="L50" s="142"/>
    </row>
    <row r="51" ht="9.75" customHeight="1">
      <c r="A51" s="145" t="s">
        <v>327</v>
      </c>
      <c r="G51" s="146" t="s">
        <v>328</v>
      </c>
    </row>
    <row r="52" ht="3.75" customHeight="1">
      <c r="A52" s="89"/>
      <c r="B52" s="89"/>
      <c r="C52" s="89"/>
      <c r="D52" s="89"/>
      <c r="E52" s="89"/>
      <c r="F52" s="89"/>
      <c r="G52" s="89"/>
      <c r="H52" s="89"/>
      <c r="I52" s="89"/>
      <c r="J52" s="89"/>
      <c r="K52" s="142"/>
      <c r="L52" s="142"/>
    </row>
    <row r="53" ht="32.25" customHeight="1">
      <c r="A53" s="147" t="s">
        <v>331</v>
      </c>
      <c r="B53" s="102"/>
      <c r="C53" s="102"/>
      <c r="D53" s="102"/>
      <c r="E53" s="102"/>
      <c r="F53" s="102"/>
      <c r="G53" s="102"/>
      <c r="H53" s="102"/>
      <c r="I53" s="102"/>
      <c r="J53" s="102"/>
      <c r="K53" s="102"/>
      <c r="L53" s="102"/>
    </row>
    <row r="54" ht="9.75" customHeight="1">
      <c r="A54" s="89"/>
      <c r="B54" s="89"/>
      <c r="C54" s="89"/>
      <c r="D54" s="89"/>
      <c r="E54" s="89"/>
      <c r="F54" s="89"/>
      <c r="G54" s="89"/>
      <c r="H54" s="89"/>
      <c r="I54" s="89"/>
      <c r="J54" s="89"/>
      <c r="K54" s="89"/>
      <c r="L54" s="89"/>
    </row>
  </sheetData>
  <mergeCells count="46">
    <mergeCell ref="A1:G1"/>
    <mergeCell ref="A2:C2"/>
    <mergeCell ref="F2:G2"/>
    <mergeCell ref="A4:C4"/>
    <mergeCell ref="F4:G4"/>
    <mergeCell ref="A6:C6"/>
    <mergeCell ref="F6:G6"/>
    <mergeCell ref="A8:C8"/>
    <mergeCell ref="F8:G8"/>
    <mergeCell ref="C12:G12"/>
    <mergeCell ref="H12:I12"/>
    <mergeCell ref="B15:G15"/>
    <mergeCell ref="B16:G16"/>
    <mergeCell ref="B17:G17"/>
    <mergeCell ref="B18:G18"/>
    <mergeCell ref="B19:G19"/>
    <mergeCell ref="B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B35:G35"/>
    <mergeCell ref="B36:G36"/>
    <mergeCell ref="B37:G37"/>
    <mergeCell ref="K38:L38"/>
    <mergeCell ref="A49:F49"/>
    <mergeCell ref="A51:F51"/>
    <mergeCell ref="G51:L51"/>
    <mergeCell ref="A53:L53"/>
    <mergeCell ref="A38:I38"/>
    <mergeCell ref="A41:I45"/>
    <mergeCell ref="K43:L43"/>
    <mergeCell ref="K44:L44"/>
    <mergeCell ref="K45:L45"/>
    <mergeCell ref="A47:L47"/>
    <mergeCell ref="G49:L49"/>
  </mergeCells>
  <conditionalFormatting sqref="F8:G8">
    <cfRule type="containsBlanks" dxfId="3" priority="1">
      <formula>LEN(TRIM(F8))=0</formula>
    </cfRule>
  </conditionalFormatting>
  <conditionalFormatting sqref="F6:G6">
    <cfRule type="containsBlanks" dxfId="3" priority="2">
      <formula>LEN(TRIM(F6))=0</formula>
    </cfRule>
  </conditionalFormatting>
  <conditionalFormatting sqref="F4:G4">
    <cfRule type="containsBlanks" dxfId="3" priority="3">
      <formula>LEN(TRIM(F4))=0</formula>
    </cfRule>
  </conditionalFormatting>
  <conditionalFormatting sqref="F2:G2">
    <cfRule type="containsBlanks" dxfId="3" priority="4">
      <formula>LEN(TRIM(F2))=0</formula>
    </cfRule>
  </conditionalFormatting>
  <conditionalFormatting sqref="B15:G37">
    <cfRule type="containsText" dxfId="5" priority="5" operator="containsText" text="%">
      <formula>NOT(ISERROR(SEARCH(("%"),(B15))))</formula>
    </cfRule>
  </conditionalFormatting>
  <printOptions/>
  <pageMargins bottom="0.0" footer="0.0" header="0.0" left="0.0" right="0.0" top="0.0"/>
  <pageSetup paperSize="9" orientation="portrait"/>
  <drawing r:id="rId1"/>
</worksheet>
</file>